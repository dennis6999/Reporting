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Machinery_Costs" sheetId="1" state="visible" r:id="rId1"/>
    <sheet xmlns:r="http://schemas.openxmlformats.org/officeDocument/2006/relationships" name="Materials_&amp;_Other_Costs" sheetId="2" state="visible" r:id="rId2"/>
    <sheet xmlns:r="http://schemas.openxmlformats.org/officeDocument/2006/relationships" name="Monthly_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KES &quot; #,##0.00"/>
    <numFmt numFmtId="165" formatCode="0.00 &quot; hrs&quot;"/>
    <numFmt numFmtId="166" formatCode="#,##0 &quot; Trips&quot;"/>
    <numFmt numFmtId="167" formatCode="0.00 &quot; h/day&quot;"/>
    <numFmt numFmtId="168" formatCode="0.0 &quot; tr/day&quot;"/>
    <numFmt numFmtId="169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10"/>
    </font>
    <font>
      <name val="Calibri"/>
      <b val="1"/>
      <color rgb="00CBD5E1"/>
      <sz val="9"/>
    </font>
    <font>
      <name val="Calibri"/>
      <b val="1"/>
      <color rgb="0064748B"/>
      <sz val="9"/>
    </font>
    <font>
      <name val="Calibri"/>
      <b val="1"/>
      <color rgb="0014532D"/>
      <sz val="17"/>
    </font>
    <font>
      <name val="Calibri"/>
      <i val="1"/>
      <color rgb="0094A3B8"/>
      <sz val="8"/>
    </font>
    <font>
      <name val="Calibri"/>
      <b val="1"/>
      <color rgb="000F172A"/>
      <sz val="17"/>
    </font>
    <font>
      <name val="Calibri"/>
      <b val="1"/>
      <color rgb="00B45309"/>
      <sz val="17"/>
    </font>
    <font>
      <name val="Calibri"/>
      <b val="1"/>
      <color rgb="00FFFFFF"/>
      <sz val="10"/>
    </font>
    <font>
      <name val="Calibri"/>
      <b val="1"/>
      <color rgb="000F172A"/>
      <sz val="9"/>
    </font>
    <font>
      <name val="Calibri"/>
      <b val="1"/>
      <color rgb="00475569"/>
      <sz val="9"/>
    </font>
    <font>
      <name val="Calibri"/>
      <color rgb="000F172A"/>
      <sz val="10"/>
    </font>
    <font>
      <name val="Calibri"/>
      <color rgb="0094A3B8"/>
      <sz val="9"/>
    </font>
    <font>
      <name val="Calibri"/>
      <b val="1"/>
      <color rgb="000F172A"/>
      <sz val="10"/>
    </font>
    <font>
      <name val="Calibri"/>
      <i val="1"/>
      <color rgb="0064748B"/>
      <sz val="9"/>
    </font>
    <font>
      <name val="Calibri"/>
      <b val="1"/>
      <color rgb="0014532D"/>
      <sz val="10"/>
    </font>
    <font>
      <name val="Calibri"/>
      <b val="1"/>
      <color rgb="00B45309"/>
      <sz val="10"/>
    </font>
    <font>
      <name val="Calibri"/>
      <b val="1"/>
      <color rgb="00064E3B"/>
      <sz val="10.5"/>
    </font>
    <font>
      <name val="Calibri"/>
      <b val="1"/>
      <color rgb="00FFFFFF"/>
      <sz val="11"/>
    </font>
    <font>
      <name val="Calibri"/>
      <b val="1"/>
      <color rgb="004ADE80"/>
      <sz val="11"/>
    </font>
    <font>
      <name val="Calibri"/>
      <b val="1"/>
      <color rgb="006EE7B7"/>
      <sz val="11"/>
    </font>
    <font>
      <name val="Calibri"/>
      <b val="1"/>
      <color rgb="00FBBF24"/>
      <sz val="11"/>
    </font>
    <font>
      <name val="Calibri"/>
      <b val="1"/>
      <color rgb="004ADE80"/>
      <sz val="12"/>
    </font>
    <font>
      <name val="Calibri"/>
      <b val="1"/>
      <color rgb="00B45309"/>
      <sz val="10.5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15803D"/>
        <bgColor rgb="0015803D"/>
      </patternFill>
    </fill>
    <fill>
      <patternFill patternType="solid">
        <fgColor rgb="00166534"/>
        <bgColor rgb="00166534"/>
      </patternFill>
    </fill>
    <fill>
      <patternFill patternType="solid">
        <fgColor rgb="0014532D"/>
        <bgColor rgb="0014532D"/>
      </patternFill>
    </fill>
    <fill>
      <patternFill patternType="solid">
        <fgColor rgb="00B45309"/>
        <bgColor rgb="00B45309"/>
      </patternFill>
    </fill>
    <fill>
      <patternFill patternType="solid">
        <fgColor rgb="000D9488"/>
        <bgColor rgb="000D9488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FFBEB"/>
        <bgColor rgb="00FFFBEB"/>
      </patternFill>
    </fill>
    <fill>
      <patternFill patternType="solid">
        <fgColor rgb="00E2FBE8"/>
        <bgColor rgb="00E2FBE8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334155"/>
      </top>
      <bottom style="medium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94A3B8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94A3B8"/>
      </bottom>
    </border>
    <border>
      <left style="thin">
        <color rgb="00E2E8F0"/>
      </left>
      <right style="medium">
        <color rgb="0094A3B8"/>
      </right>
      <top style="thin">
        <color rgb="00E2E8F0"/>
      </top>
      <bottom style="medium">
        <color rgb="0094A3B8"/>
      </bottom>
    </border>
    <border>
      <left style="thin">
        <color rgb="00E2E8F0"/>
      </left>
      <right style="thin">
        <color rgb="00E2E8F0"/>
      </right>
      <top style="medium">
        <color rgb="00334155"/>
      </top>
      <bottom style="double">
        <color rgb="00FFFFFF"/>
      </bottom>
    </border>
    <border>
      <left style="thin">
        <color rgb="00E2E8F0"/>
      </left>
      <right style="medium">
        <color rgb="0094A3B8"/>
      </right>
      <top style="medium">
        <color rgb="00334155"/>
      </top>
      <bottom style="double">
        <color rgb="00FFFFFF"/>
      </bottom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5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right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0" fontId="12" fillId="12" borderId="4" pivotButton="0" quotePrefix="0" xfId="0"/>
    <xf numFmtId="0" fontId="13" fillId="12" borderId="3" applyAlignment="1" pivotButton="0" quotePrefix="0" xfId="0">
      <alignment horizontal="right" vertical="center"/>
    </xf>
    <xf numFmtId="164" fontId="13" fillId="12" borderId="4" applyAlignment="1" pivotButton="0" quotePrefix="0" xfId="0">
      <alignment horizontal="right" vertical="center"/>
    </xf>
    <xf numFmtId="164" fontId="14" fillId="4" borderId="4" applyAlignment="1" pivotButton="0" quotePrefix="0" xfId="0">
      <alignment horizontal="right" vertical="center"/>
    </xf>
    <xf numFmtId="0" fontId="13" fillId="12" borderId="3" pivotButton="0" quotePrefix="0" xfId="0"/>
    <xf numFmtId="0" fontId="15" fillId="12" borderId="4" pivotButton="0" quotePrefix="0" xfId="0"/>
    <xf numFmtId="164" fontId="14" fillId="12" borderId="3" applyAlignment="1" pivotButton="0" quotePrefix="0" xfId="0">
      <alignment horizontal="right" vertical="center"/>
    </xf>
    <xf numFmtId="0" fontId="11" fillId="14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0" fontId="12" fillId="14" borderId="6" pivotButton="0" quotePrefix="0" xfId="0"/>
    <xf numFmtId="0" fontId="13" fillId="14" borderId="5" applyAlignment="1" pivotButton="0" quotePrefix="0" xfId="0">
      <alignment horizontal="right" vertical="center"/>
    </xf>
    <xf numFmtId="164" fontId="13" fillId="14" borderId="6" applyAlignment="1" pivotButton="0" quotePrefix="0" xfId="0">
      <alignment horizontal="right" vertical="center"/>
    </xf>
    <xf numFmtId="164" fontId="14" fillId="13" borderId="6" applyAlignment="1" pivotButton="0" quotePrefix="0" xfId="0">
      <alignment horizontal="right" vertical="center"/>
    </xf>
    <xf numFmtId="0" fontId="13" fillId="14" borderId="5" pivotButton="0" quotePrefix="0" xfId="0"/>
    <xf numFmtId="0" fontId="15" fillId="14" borderId="6" pivotButton="0" quotePrefix="0" xfId="0"/>
    <xf numFmtId="164" fontId="14" fillId="14" borderId="5" applyAlignment="1" pivotButton="0" quotePrefix="0" xfId="0">
      <alignment horizontal="right" vertical="center"/>
    </xf>
    <xf numFmtId="0" fontId="14" fillId="12" borderId="3" applyAlignment="1" pivotButton="0" quotePrefix="0" xfId="0">
      <alignment horizontal="center" vertical="center"/>
    </xf>
    <xf numFmtId="0" fontId="14" fillId="14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14" borderId="4" pivotButton="0" quotePrefix="0" xfId="0"/>
    <xf numFmtId="0" fontId="13" fillId="14" borderId="3" applyAlignment="1" pivotButton="0" quotePrefix="0" xfId="0">
      <alignment horizontal="right" vertical="center"/>
    </xf>
    <xf numFmtId="164" fontId="13" fillId="14" borderId="4" applyAlignment="1" pivotButton="0" quotePrefix="0" xfId="0">
      <alignment horizontal="right" vertical="center"/>
    </xf>
    <xf numFmtId="164" fontId="14" fillId="13" borderId="4" applyAlignment="1" pivotButton="0" quotePrefix="0" xfId="0">
      <alignment horizontal="right" vertical="center"/>
    </xf>
    <xf numFmtId="0" fontId="13" fillId="14" borderId="3" pivotButton="0" quotePrefix="0" xfId="0"/>
    <xf numFmtId="0" fontId="15" fillId="14" borderId="4" pivotButton="0" quotePrefix="0" xfId="0"/>
    <xf numFmtId="164" fontId="14" fillId="14" borderId="3" applyAlignment="1" pivotButton="0" quotePrefix="0" xfId="0">
      <alignment horizontal="right" vertical="center"/>
    </xf>
    <xf numFmtId="2" fontId="14" fillId="12" borderId="3" applyAlignment="1" pivotButton="0" quotePrefix="0" xfId="0">
      <alignment horizontal="right" vertical="center"/>
    </xf>
    <xf numFmtId="164" fontId="12" fillId="12" borderId="3" applyAlignment="1" pivotButton="0" quotePrefix="0" xfId="0">
      <alignment horizontal="right" vertical="center"/>
    </xf>
    <xf numFmtId="164" fontId="16" fillId="12" borderId="4" applyAlignment="1" pivotButton="0" quotePrefix="0" xfId="0">
      <alignment horizontal="right" vertical="center"/>
    </xf>
    <xf numFmtId="3" fontId="14" fillId="12" borderId="3" applyAlignment="1" pivotButton="0" quotePrefix="0" xfId="0">
      <alignment horizontal="right" vertical="center"/>
    </xf>
    <xf numFmtId="164" fontId="17" fillId="5" borderId="4" applyAlignment="1" pivotButton="0" quotePrefix="0" xfId="0">
      <alignment horizontal="right" vertical="center"/>
    </xf>
    <xf numFmtId="164" fontId="18" fillId="15" borderId="4" applyAlignment="1" pivotButton="0" quotePrefix="0" xfId="0">
      <alignment horizontal="right" vertical="center"/>
    </xf>
    <xf numFmtId="0" fontId="11" fillId="14" borderId="3" applyAlignment="1" pivotButton="0" quotePrefix="0" xfId="0">
      <alignment horizontal="center" vertical="center"/>
    </xf>
    <xf numFmtId="2" fontId="14" fillId="14" borderId="3" applyAlignment="1" pivotButton="0" quotePrefix="0" xfId="0">
      <alignment horizontal="right" vertical="center"/>
    </xf>
    <xf numFmtId="164" fontId="12" fillId="14" borderId="3" applyAlignment="1" pivotButton="0" quotePrefix="0" xfId="0">
      <alignment horizontal="right" vertical="center"/>
    </xf>
    <xf numFmtId="164" fontId="16" fillId="14" borderId="4" applyAlignment="1" pivotButton="0" quotePrefix="0" xfId="0">
      <alignment horizontal="right" vertical="center"/>
    </xf>
    <xf numFmtId="3" fontId="14" fillId="14" borderId="3" applyAlignment="1" pivotButton="0" quotePrefix="0" xfId="0">
      <alignment horizontal="right" vertical="center"/>
    </xf>
    <xf numFmtId="164" fontId="17" fillId="16" borderId="4" applyAlignment="1" pivotButton="0" quotePrefix="0" xfId="0">
      <alignment horizontal="right" vertical="center"/>
    </xf>
    <xf numFmtId="164" fontId="18" fillId="17" borderId="4" applyAlignment="1" pivotButton="0" quotePrefix="0" xfId="0">
      <alignment horizontal="right" vertical="center"/>
    </xf>
    <xf numFmtId="0" fontId="11" fillId="12" borderId="5" applyAlignment="1" pivotButton="0" quotePrefix="0" xfId="0">
      <alignment horizontal="center" vertical="center"/>
    </xf>
    <xf numFmtId="0" fontId="12" fillId="12" borderId="5" applyAlignment="1" pivotButton="0" quotePrefix="0" xfId="0">
      <alignment horizontal="center" vertical="center"/>
    </xf>
    <xf numFmtId="0" fontId="12" fillId="12" borderId="6" pivotButton="0" quotePrefix="0" xfId="0"/>
    <xf numFmtId="2" fontId="14" fillId="12" borderId="5" applyAlignment="1" pivotButton="0" quotePrefix="0" xfId="0">
      <alignment horizontal="right" vertical="center"/>
    </xf>
    <xf numFmtId="164" fontId="12" fillId="12" borderId="5" applyAlignment="1" pivotButton="0" quotePrefix="0" xfId="0">
      <alignment horizontal="right" vertical="center"/>
    </xf>
    <xf numFmtId="164" fontId="16" fillId="12" borderId="6" applyAlignment="1" pivotButton="0" quotePrefix="0" xfId="0">
      <alignment horizontal="right" vertical="center"/>
    </xf>
    <xf numFmtId="0" fontId="13" fillId="12" borderId="5" applyAlignment="1" pivotButton="0" quotePrefix="0" xfId="0">
      <alignment horizontal="right" vertical="center"/>
    </xf>
    <xf numFmtId="164" fontId="13" fillId="12" borderId="6" applyAlignment="1" pivotButton="0" quotePrefix="0" xfId="0">
      <alignment horizontal="right" vertical="center"/>
    </xf>
    <xf numFmtId="164" fontId="14" fillId="4" borderId="6" applyAlignment="1" pivotButton="0" quotePrefix="0" xfId="0">
      <alignment horizontal="right" vertical="center"/>
    </xf>
    <xf numFmtId="3" fontId="14" fillId="12" borderId="5" applyAlignment="1" pivotButton="0" quotePrefix="0" xfId="0">
      <alignment horizontal="right" vertical="center"/>
    </xf>
    <xf numFmtId="164" fontId="17" fillId="5" borderId="6" applyAlignment="1" pivotButton="0" quotePrefix="0" xfId="0">
      <alignment horizontal="right" vertical="center"/>
    </xf>
    <xf numFmtId="0" fontId="13" fillId="12" borderId="5" pivotButton="0" quotePrefix="0" xfId="0"/>
    <xf numFmtId="0" fontId="15" fillId="12" borderId="6" pivotButton="0" quotePrefix="0" xfId="0"/>
    <xf numFmtId="164" fontId="18" fillId="15" borderId="6" applyAlignment="1" pivotButton="0" quotePrefix="0" xfId="0">
      <alignment horizontal="right" vertical="center"/>
    </xf>
    <xf numFmtId="164" fontId="14" fillId="12" borderId="5" applyAlignment="1" pivotButton="0" quotePrefix="0" xfId="0">
      <alignment horizontal="right" vertical="center"/>
    </xf>
    <xf numFmtId="2" fontId="14" fillId="14" borderId="5" applyAlignment="1" pivotButton="0" quotePrefix="0" xfId="0">
      <alignment horizontal="right" vertical="center"/>
    </xf>
    <xf numFmtId="164" fontId="12" fillId="14" borderId="5" applyAlignment="1" pivotButton="0" quotePrefix="0" xfId="0">
      <alignment horizontal="right" vertical="center"/>
    </xf>
    <xf numFmtId="164" fontId="16" fillId="14" borderId="6" applyAlignment="1" pivotButton="0" quotePrefix="0" xfId="0">
      <alignment horizontal="right" vertical="center"/>
    </xf>
    <xf numFmtId="3" fontId="14" fillId="14" borderId="5" applyAlignment="1" pivotButton="0" quotePrefix="0" xfId="0">
      <alignment horizontal="right" vertical="center"/>
    </xf>
    <xf numFmtId="164" fontId="17" fillId="16" borderId="6" applyAlignment="1" pivotButton="0" quotePrefix="0" xfId="0">
      <alignment horizontal="right" vertical="center"/>
    </xf>
    <xf numFmtId="164" fontId="18" fillId="17" borderId="6" applyAlignment="1" pivotButton="0" quotePrefix="0" xfId="0">
      <alignment horizontal="right" vertical="center"/>
    </xf>
    <xf numFmtId="0" fontId="14" fillId="14" borderId="3" pivotButton="0" quotePrefix="0" xfId="0"/>
    <xf numFmtId="0" fontId="14" fillId="12" borderId="3" pivotButton="0" quotePrefix="0" xfId="0"/>
    <xf numFmtId="0" fontId="19" fillId="2" borderId="7" applyAlignment="1" pivotButton="0" quotePrefix="0" xfId="0">
      <alignment horizontal="right" vertical="center" indent="1"/>
    </xf>
    <xf numFmtId="0" fontId="0" fillId="0" borderId="7" pivotButton="0" quotePrefix="0" xfId="0"/>
    <xf numFmtId="0" fontId="0" fillId="0" borderId="8" pivotButton="0" quotePrefix="0" xfId="0"/>
    <xf numFmtId="165" fontId="19" fillId="2" borderId="7" applyAlignment="1" pivotButton="0" quotePrefix="0" xfId="0">
      <alignment horizontal="right" vertical="center"/>
    </xf>
    <xf numFmtId="0" fontId="19" fillId="2" borderId="7" applyAlignment="1" pivotButton="0" quotePrefix="0" xfId="0">
      <alignment horizontal="center" vertical="center"/>
    </xf>
    <xf numFmtId="164" fontId="20" fillId="2" borderId="8" applyAlignment="1" pivotButton="0" quotePrefix="0" xfId="0">
      <alignment horizontal="right" vertical="center"/>
    </xf>
    <xf numFmtId="164" fontId="21" fillId="8" borderId="8" applyAlignment="1" pivotButton="0" quotePrefix="0" xfId="0">
      <alignment horizontal="right" vertical="center"/>
    </xf>
    <xf numFmtId="166" fontId="19" fillId="2" borderId="7" applyAlignment="1" pivotButton="0" quotePrefix="0" xfId="0">
      <alignment horizontal="right" vertical="center"/>
    </xf>
    <xf numFmtId="164" fontId="22" fillId="2" borderId="8" applyAlignment="1" pivotButton="0" quotePrefix="0" xfId="0">
      <alignment horizontal="right" vertical="center"/>
    </xf>
    <xf numFmtId="0" fontId="19" fillId="2" borderId="8" applyAlignment="1" pivotButton="0" quotePrefix="0" xfId="0">
      <alignment horizontal="center" vertical="center"/>
    </xf>
    <xf numFmtId="164" fontId="23" fillId="2" borderId="8" applyAlignment="1" pivotButton="0" quotePrefix="0" xfId="0">
      <alignment horizontal="right" vertical="center"/>
    </xf>
    <xf numFmtId="164" fontId="20" fillId="2" borderId="7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 indent="1"/>
    </xf>
    <xf numFmtId="167" fontId="1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168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164" fontId="24" fillId="5" borderId="0" applyAlignment="1" pivotButton="0" quotePrefix="0" xfId="0">
      <alignment horizontal="right" vertical="center"/>
    </xf>
    <xf numFmtId="0" fontId="12" fillId="12" borderId="3" pivotButton="0" quotePrefix="0" xfId="0"/>
    <xf numFmtId="0" fontId="0" fillId="12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0" fontId="15" fillId="12" borderId="3" pivotButton="0" quotePrefix="0" xfId="0"/>
    <xf numFmtId="0" fontId="12" fillId="14" borderId="3" pivotButton="0" quotePrefix="0" xfId="0"/>
    <xf numFmtId="0" fontId="0" fillId="14" borderId="3" applyAlignment="1" pivotButton="0" quotePrefix="0" xfId="0">
      <alignment horizontal="center" vertical="center"/>
    </xf>
    <xf numFmtId="0" fontId="15" fillId="14" borderId="3" pivotButton="0" quotePrefix="0" xfId="0"/>
    <xf numFmtId="0" fontId="19" fillId="6" borderId="0" applyAlignment="1" pivotButton="0" quotePrefix="0" xfId="0">
      <alignment horizontal="left" vertical="center" indent="1"/>
    </xf>
    <xf numFmtId="165" fontId="14" fillId="14" borderId="3" applyAlignment="1" pivotButton="0" quotePrefix="0" xfId="0">
      <alignment horizontal="right" vertical="center"/>
    </xf>
    <xf numFmtId="169" fontId="14" fillId="14" borderId="3" applyAlignment="1" pivotButton="0" quotePrefix="0" xfId="0">
      <alignment horizontal="right" vertical="center"/>
    </xf>
    <xf numFmtId="165" fontId="14" fillId="12" borderId="3" applyAlignment="1" pivotButton="0" quotePrefix="0" xfId="0">
      <alignment horizontal="right" vertical="center"/>
    </xf>
    <xf numFmtId="169" fontId="14" fillId="12" borderId="3" applyAlignment="1" pivotButton="0" quotePrefix="0" xfId="0">
      <alignment horizontal="right" vertical="center"/>
    </xf>
    <xf numFmtId="166" fontId="14" fillId="14" borderId="3" applyAlignment="1" pivotButton="0" quotePrefix="0" xfId="0">
      <alignment horizontal="right" vertical="center"/>
    </xf>
    <xf numFmtId="0" fontId="14" fillId="12" borderId="3" applyAlignment="1" pivotButton="0" quotePrefix="0" xfId="0">
      <alignment horizontal="right" vertical="center"/>
    </xf>
    <xf numFmtId="169" fontId="19" fillId="2" borderId="7" applyAlignment="1" pivotButton="0" quotePrefix="0" xfId="0">
      <alignment horizontal="right" vertical="center"/>
    </xf>
    <xf numFmtId="0" fontId="19" fillId="2" borderId="7" pivotButton="0" quotePrefix="0" xfId="0"/>
    <xf numFmtId="0" fontId="19" fillId="8" borderId="0" applyAlignment="1" pivotButton="0" quotePrefix="0" xfId="0">
      <alignment horizontal="left" vertical="center" indent="1"/>
    </xf>
    <xf numFmtId="0" fontId="10" fillId="3" borderId="2" pivotButton="0" quotePrefix="0" xfId="0"/>
    <xf numFmtId="0" fontId="0" fillId="0" borderId="2" pivotButton="0" quotePrefix="0" xfId="0"/>
    <xf numFmtId="0" fontId="0" fillId="14" borderId="3" pivotButton="0" quotePrefix="0" xfId="0"/>
    <xf numFmtId="0" fontId="0" fillId="12" borderId="3" pivotButton="0" quotePrefix="0" xfId="0"/>
    <xf numFmtId="0" fontId="14" fillId="4" borderId="3" applyAlignment="1" pivotButton="0" quotePrefix="0" xfId="0">
      <alignment horizontal="right" vertical="center" indent="1"/>
    </xf>
    <xf numFmtId="0" fontId="0" fillId="0" borderId="3" pivotButton="0" quotePrefix="0" xfId="0"/>
    <xf numFmtId="164" fontId="16" fillId="4" borderId="3" applyAlignment="1" pivotButton="0" quotePrefix="0" xfId="0">
      <alignment horizontal="right" vertical="center"/>
    </xf>
    <xf numFmtId="169" fontId="14" fillId="4" borderId="3" applyAlignment="1" pivotButton="0" quotePrefix="0" xfId="0">
      <alignment horizontal="right" vertical="center"/>
    </xf>
    <xf numFmtId="0" fontId="15" fillId="4" borderId="3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4" fillId="0" borderId="3" pivotButton="0" quotePrefix="0" xfId="0"/>
    <xf numFmtId="0" fontId="12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1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13" customWidth="1" min="2" max="2"/>
    <col width="12" customWidth="1" min="3" max="3"/>
    <col width="16" customWidth="1" min="4" max="4"/>
    <col width="36" customWidth="1" min="5" max="5"/>
    <col width="15" customWidth="1" min="6" max="6"/>
    <col width="14" customWidth="1" min="7" max="7"/>
    <col width="18" customWidth="1" min="8" max="8"/>
    <col width="15" customWidth="1" min="9" max="9"/>
    <col width="14" customWidth="1" min="10" max="10"/>
    <col width="18" customWidth="1" min="11" max="11"/>
    <col width="19" customWidth="1" min="12" max="12"/>
    <col width="13" customWidth="1" min="13" max="13"/>
    <col width="13" customWidth="1" min="14" max="14"/>
    <col width="17" customWidth="1" min="15" max="15"/>
    <col width="24" customWidth="1" min="16" max="16"/>
    <col width="42" customWidth="1" min="17" max="17"/>
    <col width="22" customWidth="1" min="18" max="18"/>
    <col width="21" customWidth="1" min="19" max="19"/>
  </cols>
  <sheetData>
    <row r="1" ht="28" customHeight="1">
      <c r="A1" s="1" t="inlineStr">
        <is>
          <t>MUCHERU WORLD OF GOLF — DAILY MACHINERY &amp; OPERATIONS COST (AUGUST 1–31, 2026)</t>
        </is>
      </c>
    </row>
    <row r="2" ht="18" customHeight="1">
      <c r="A2" s="2" t="inlineStr">
        <is>
          <t>Complete Day-by-Day Financial Breakdown from First Day (01 Aug) Through to Last Day (31 Aug) — Daily Active Accounting</t>
        </is>
      </c>
    </row>
    <row r="3" ht="18" customHeight="1">
      <c r="A3" s="3" t="inlineStr">
        <is>
          <t>CONTRACT RATES: Tracked Excavator @ KES 8,500/hr  |  Backhoe Loader @ KES 6,500/hr  |  Tipper Haulage @ KES 1,000/trip  |  Tractor: Internal Farm Asset ($0)</t>
        </is>
      </c>
    </row>
    <row r="4" ht="8" customHeight="1"/>
    <row r="5" ht="18" customHeight="1">
      <c r="A5" s="4" t="inlineStr">
        <is>
          <t>TOTAL MONTH OPERATIONS COST</t>
        </is>
      </c>
      <c r="B5" s="5" t="n"/>
      <c r="C5" s="5" t="n"/>
      <c r="D5" s="4" t="inlineStr">
        <is>
          <t>EXCAVATOR EXPENDITURE (SWE210)</t>
        </is>
      </c>
      <c r="E5" s="5" t="n"/>
      <c r="F5" s="5" t="n"/>
      <c r="G5" s="5" t="n"/>
      <c r="H5" s="4" t="inlineStr">
        <is>
          <t>BACKHOE LOADER EXPENDITURE (XGMA)</t>
        </is>
      </c>
      <c r="I5" s="5" t="n"/>
      <c r="J5" s="5" t="n"/>
      <c r="K5" s="5" t="n"/>
      <c r="L5" s="4" t="inlineStr">
        <is>
          <t>TIPPER HAULAGE FLEET EXPENDITURE</t>
        </is>
      </c>
      <c r="M5" s="5" t="n"/>
      <c r="N5" s="5" t="n"/>
      <c r="O5" s="5" t="n"/>
      <c r="P5" s="4" t="inlineStr">
        <is>
          <t>ACTIVE TRACKING CONTINUITY</t>
        </is>
      </c>
      <c r="Q5" s="5" t="n"/>
      <c r="R5" s="5" t="n"/>
      <c r="S5" s="5" t="n"/>
    </row>
    <row r="6" ht="26" customHeight="1">
      <c r="A6" s="6">
        <f>R41</f>
        <v/>
      </c>
      <c r="B6" s="5" t="n"/>
      <c r="C6" s="5" t="n"/>
      <c r="D6" s="7">
        <f>H41</f>
        <v/>
      </c>
      <c r="E6" s="5" t="n"/>
      <c r="F6" s="5" t="n"/>
      <c r="G6" s="5" t="n"/>
      <c r="H6" s="7">
        <f>K41</f>
        <v/>
      </c>
      <c r="I6" s="5" t="n"/>
      <c r="J6" s="5" t="n"/>
      <c r="K6" s="5" t="n"/>
      <c r="L6" s="8">
        <f>O41</f>
        <v/>
      </c>
      <c r="M6" s="5" t="n"/>
      <c r="N6" s="5" t="n"/>
      <c r="O6" s="5" t="n"/>
      <c r="P6" s="9" t="inlineStr">
        <is>
          <t>31 Calendar Days Logged</t>
        </is>
      </c>
      <c r="Q6" s="5" t="n"/>
      <c r="R6" s="5" t="n"/>
      <c r="S6" s="5" t="n"/>
    </row>
    <row r="7" ht="16" customHeight="1">
      <c r="A7" s="10" t="inlineStr">
        <is>
          <t>Combined Machinery &amp; Haulage</t>
        </is>
      </c>
      <c r="B7" s="5" t="n"/>
      <c r="C7" s="5" t="n"/>
      <c r="D7" s="10" t="inlineStr">
        <is>
          <t>123.10 Machine Hours @ KES 8,500/hr</t>
        </is>
      </c>
      <c r="E7" s="5" t="n"/>
      <c r="F7" s="5" t="n"/>
      <c r="G7" s="5" t="n"/>
      <c r="H7" s="10" t="inlineStr">
        <is>
          <t>138.72 Machine Hours @ KES 6,500/hr</t>
        </is>
      </c>
      <c r="I7" s="5" t="n"/>
      <c r="J7" s="5" t="n"/>
      <c r="K7" s="5" t="n"/>
      <c r="L7" s="10" t="inlineStr">
        <is>
          <t>842 Total Tipper Trips @ KES 1,000/trip</t>
        </is>
      </c>
      <c r="M7" s="5" t="n"/>
      <c r="N7" s="5" t="n"/>
      <c r="O7" s="5" t="n"/>
      <c r="P7" s="10" t="inlineStr">
        <is>
          <t>25 Active Heavy Operations Days</t>
        </is>
      </c>
      <c r="Q7" s="5" t="n"/>
      <c r="R7" s="5" t="n"/>
      <c r="S7" s="5" t="n"/>
    </row>
    <row r="8" ht="20" customHeight="1">
      <c r="A8" s="11" t="inlineStr">
        <is>
          <t>1. CALENDAR &amp; SITE MANAGEMENT</t>
        </is>
      </c>
      <c r="F8" s="12" t="inlineStr">
        <is>
          <t>2. TRACKED EXCAVATOR (KES 8,500/HR)</t>
        </is>
      </c>
      <c r="I8" s="13" t="inlineStr">
        <is>
          <t>3. BACKHOE LOADER (KES 6,500/HR)</t>
        </is>
      </c>
      <c r="L8" s="14" t="inlineStr">
        <is>
          <t>MACHINERY SUB-TOTAL</t>
        </is>
      </c>
      <c r="M8" s="15" t="inlineStr">
        <is>
          <t>4. TIPPER HAULAGE (KES 1,000/TRIP)</t>
        </is>
      </c>
      <c r="P8" s="11" t="inlineStr">
        <is>
          <t>5. TRACTOR LOGISTICS</t>
        </is>
      </c>
      <c r="Q8" s="16" t="inlineStr">
        <is>
          <t>6. MATERIAL INFLOWS &amp; OTHER COSTS</t>
        </is>
      </c>
      <c r="R8" s="11" t="inlineStr">
        <is>
          <t>7. DAILY FINANCIAL TOTALS</t>
        </is>
      </c>
    </row>
    <row r="9" ht="24" customHeight="1">
      <c r="A9" s="17" t="inlineStr">
        <is>
          <t>Day #</t>
        </is>
      </c>
      <c r="B9" s="17" t="inlineStr">
        <is>
          <t>Date</t>
        </is>
      </c>
      <c r="C9" s="17" t="inlineStr">
        <is>
          <t>Day of Week</t>
        </is>
      </c>
      <c r="D9" s="17" t="inlineStr">
        <is>
          <t>Supervision</t>
        </is>
      </c>
      <c r="E9" s="18" t="inlineStr">
        <is>
          <t>Target Work Zones &amp; Operations Scope</t>
        </is>
      </c>
      <c r="F9" s="19" t="inlineStr">
        <is>
          <t>Excavator Hours</t>
        </is>
      </c>
      <c r="G9" s="19" t="inlineStr">
        <is>
          <t>Hourly Rate</t>
        </is>
      </c>
      <c r="H9" s="19" t="inlineStr">
        <is>
          <t>Excavator Daily Cost</t>
        </is>
      </c>
      <c r="I9" s="19" t="inlineStr">
        <is>
          <t>Backhoe Hours</t>
        </is>
      </c>
      <c r="J9" s="19" t="inlineStr">
        <is>
          <t>Hourly Rate</t>
        </is>
      </c>
      <c r="K9" s="19" t="inlineStr">
        <is>
          <t>Backhoe Daily Cost</t>
        </is>
      </c>
      <c r="L9" s="19" t="inlineStr">
        <is>
          <t>Machinery Subtotal</t>
        </is>
      </c>
      <c r="M9" s="19" t="inlineStr">
        <is>
          <t>Tipper Trips</t>
        </is>
      </c>
      <c r="N9" s="19" t="inlineStr">
        <is>
          <t>Rate / Trip</t>
        </is>
      </c>
      <c r="O9" s="19" t="inlineStr">
        <is>
          <t>Tipper Daily Cost</t>
        </is>
      </c>
      <c r="P9" s="18" t="inlineStr">
        <is>
          <t>Internal Tractor Logistics</t>
        </is>
      </c>
      <c r="Q9" s="18" t="inlineStr">
        <is>
          <t>Other Costs, Material Inflows &amp; Milestones Logged That Day</t>
        </is>
      </c>
      <c r="R9" s="19" t="inlineStr">
        <is>
          <t>TOTAL DAILY COST (KES)</t>
        </is>
      </c>
      <c r="S9" s="19" t="inlineStr">
        <is>
          <t>CUMULATIVE COST MTD</t>
        </is>
      </c>
    </row>
    <row r="10" ht="23" customHeight="1">
      <c r="A10" s="20" t="n">
        <v>1</v>
      </c>
      <c r="B10" s="21" t="inlineStr">
        <is>
          <t>01-Aug-2026</t>
        </is>
      </c>
      <c r="C10" s="20" t="inlineStr">
        <is>
          <t>Saturday</t>
        </is>
      </c>
      <c r="D10" s="21" t="inlineStr">
        <is>
          <t>Ken &amp; Site Team</t>
        </is>
      </c>
      <c r="E10" s="22" t="inlineStr">
        <is>
          <t>Site preparation, baseline perimeter boundary reconnaissance &amp; access roads check</t>
        </is>
      </c>
      <c r="F10" s="23" t="inlineStr">
        <is>
          <t>—</t>
        </is>
      </c>
      <c r="G10" s="23" t="inlineStr">
        <is>
          <t>—</t>
        </is>
      </c>
      <c r="H10" s="24" t="n">
        <v>0</v>
      </c>
      <c r="I10" s="23" t="inlineStr">
        <is>
          <t>—</t>
        </is>
      </c>
      <c r="J10" s="23" t="inlineStr">
        <is>
          <t>—</t>
        </is>
      </c>
      <c r="K10" s="24" t="n">
        <v>0</v>
      </c>
      <c r="L10" s="25">
        <f>H10+K10</f>
        <v/>
      </c>
      <c r="M10" s="23" t="inlineStr">
        <is>
          <t>—</t>
        </is>
      </c>
      <c r="N10" s="23" t="inlineStr">
        <is>
          <t>—</t>
        </is>
      </c>
      <c r="O10" s="24" t="n">
        <v>0</v>
      </c>
      <c r="P10" s="26" t="inlineStr">
        <is>
          <t>—</t>
        </is>
      </c>
      <c r="Q10" s="27" t="inlineStr">
        <is>
          <t>Pre-machinery mobilization phase; access gate inspection</t>
        </is>
      </c>
      <c r="R10" s="24">
        <f>L10+O10</f>
        <v/>
      </c>
      <c r="S10" s="28">
        <f>R10</f>
        <v/>
      </c>
    </row>
    <row r="11" ht="23" customHeight="1">
      <c r="A11" s="29" t="n">
        <v>2</v>
      </c>
      <c r="B11" s="30" t="inlineStr">
        <is>
          <t>02-Aug-2026</t>
        </is>
      </c>
      <c r="C11" s="29" t="inlineStr">
        <is>
          <t>Sunday</t>
        </is>
      </c>
      <c r="D11" s="30" t="inlineStr">
        <is>
          <t>Mr. Gichuhi &amp; Ken</t>
        </is>
      </c>
      <c r="E11" s="31" t="inlineStr">
        <is>
          <t>Pre-campaign technical alignment; review of dam water catchment drainage gradients</t>
        </is>
      </c>
      <c r="F11" s="32" t="inlineStr">
        <is>
          <t>—</t>
        </is>
      </c>
      <c r="G11" s="32" t="inlineStr">
        <is>
          <t>—</t>
        </is>
      </c>
      <c r="H11" s="33" t="n">
        <v>0</v>
      </c>
      <c r="I11" s="32" t="inlineStr">
        <is>
          <t>—</t>
        </is>
      </c>
      <c r="J11" s="32" t="inlineStr">
        <is>
          <t>—</t>
        </is>
      </c>
      <c r="K11" s="33" t="n">
        <v>0</v>
      </c>
      <c r="L11" s="34">
        <f>H11+K11</f>
        <v/>
      </c>
      <c r="M11" s="32" t="inlineStr">
        <is>
          <t>—</t>
        </is>
      </c>
      <c r="N11" s="32" t="inlineStr">
        <is>
          <t>—</t>
        </is>
      </c>
      <c r="O11" s="33" t="n">
        <v>0</v>
      </c>
      <c r="P11" s="35" t="inlineStr">
        <is>
          <t>—</t>
        </is>
      </c>
      <c r="Q11" s="36" t="inlineStr">
        <is>
          <t>Surface runoff elevation inspection towards Dam 1 &amp; 2 footprints</t>
        </is>
      </c>
      <c r="R11" s="33">
        <f>L11+O11</f>
        <v/>
      </c>
      <c r="S11" s="37">
        <f>S10+R11</f>
        <v/>
      </c>
    </row>
    <row r="12" ht="23" customHeight="1">
      <c r="A12" s="38" t="n">
        <v>3</v>
      </c>
      <c r="B12" s="21" t="inlineStr">
        <is>
          <t>03-Aug-2026</t>
        </is>
      </c>
      <c r="C12" s="21" t="inlineStr">
        <is>
          <t>Monday</t>
        </is>
      </c>
      <c r="D12" s="21" t="inlineStr">
        <is>
          <t>Ken &amp; Execs</t>
        </is>
      </c>
      <c r="E12" s="22" t="inlineStr">
        <is>
          <t>Dedan Kimathi University of Technology (DeKUT) institutional outreach visit</t>
        </is>
      </c>
      <c r="F12" s="23" t="inlineStr">
        <is>
          <t>—</t>
        </is>
      </c>
      <c r="G12" s="23" t="inlineStr">
        <is>
          <t>—</t>
        </is>
      </c>
      <c r="H12" s="24" t="n">
        <v>0</v>
      </c>
      <c r="I12" s="23" t="inlineStr">
        <is>
          <t>—</t>
        </is>
      </c>
      <c r="J12" s="23" t="inlineStr">
        <is>
          <t>—</t>
        </is>
      </c>
      <c r="K12" s="24" t="n">
        <v>0</v>
      </c>
      <c r="L12" s="25">
        <f>H12+K12</f>
        <v/>
      </c>
      <c r="M12" s="23" t="inlineStr">
        <is>
          <t>—</t>
        </is>
      </c>
      <c r="N12" s="23" t="inlineStr">
        <is>
          <t>—</t>
        </is>
      </c>
      <c r="O12" s="24" t="n">
        <v>0</v>
      </c>
      <c r="P12" s="26" t="inlineStr">
        <is>
          <t>—</t>
        </is>
      </c>
      <c r="Q12" s="27" t="inlineStr">
        <is>
          <t>DeKUT outreach meeting to explore smart irrigation &amp; agronomy links</t>
        </is>
      </c>
      <c r="R12" s="24">
        <f>L12+O12</f>
        <v/>
      </c>
      <c r="S12" s="28">
        <f>S11+R12</f>
        <v/>
      </c>
    </row>
    <row r="13" ht="23" customHeight="1">
      <c r="A13" s="39" t="n">
        <v>4</v>
      </c>
      <c r="B13" s="40" t="inlineStr">
        <is>
          <t>04-Aug-2026</t>
        </is>
      </c>
      <c r="C13" s="40" t="inlineStr">
        <is>
          <t>Tuesday</t>
        </is>
      </c>
      <c r="D13" s="40" t="inlineStr">
        <is>
          <t>Ken &amp; Kinoti</t>
        </is>
      </c>
      <c r="E13" s="41" t="inlineStr">
        <is>
          <t>Topsoil profile staging review, site clearance coordination with farm team</t>
        </is>
      </c>
      <c r="F13" s="42" t="inlineStr">
        <is>
          <t>—</t>
        </is>
      </c>
      <c r="G13" s="42" t="inlineStr">
        <is>
          <t>—</t>
        </is>
      </c>
      <c r="H13" s="43" t="n">
        <v>0</v>
      </c>
      <c r="I13" s="42" t="inlineStr">
        <is>
          <t>—</t>
        </is>
      </c>
      <c r="J13" s="42" t="inlineStr">
        <is>
          <t>—</t>
        </is>
      </c>
      <c r="K13" s="43" t="n">
        <v>0</v>
      </c>
      <c r="L13" s="44">
        <f>H13+K13</f>
        <v/>
      </c>
      <c r="M13" s="42" t="inlineStr">
        <is>
          <t>—</t>
        </is>
      </c>
      <c r="N13" s="42" t="inlineStr">
        <is>
          <t>—</t>
        </is>
      </c>
      <c r="O13" s="43" t="n">
        <v>0</v>
      </c>
      <c r="P13" s="45" t="inlineStr">
        <is>
          <t>—</t>
        </is>
      </c>
      <c r="Q13" s="46" t="inlineStr">
        <is>
          <t>Fairway topsoil assessment &amp; agricultural equipment staging check</t>
        </is>
      </c>
      <c r="R13" s="43">
        <f>L13+O13</f>
        <v/>
      </c>
      <c r="S13" s="47">
        <f>S12+R13</f>
        <v/>
      </c>
    </row>
    <row r="14" ht="23" customHeight="1">
      <c r="A14" s="38" t="n">
        <v>5</v>
      </c>
      <c r="B14" s="21" t="inlineStr">
        <is>
          <t>05-Aug-2026</t>
        </is>
      </c>
      <c r="C14" s="21" t="inlineStr">
        <is>
          <t>Wednesday</t>
        </is>
      </c>
      <c r="D14" s="21" t="inlineStr">
        <is>
          <t>Mr. Gichuhi &amp; Ken</t>
        </is>
      </c>
      <c r="E14" s="22" t="inlineStr">
        <is>
          <t>Dam 1 survey datum pegging and heavy equipment haul route clearance</t>
        </is>
      </c>
      <c r="F14" s="23" t="inlineStr">
        <is>
          <t>—</t>
        </is>
      </c>
      <c r="G14" s="23" t="inlineStr">
        <is>
          <t>—</t>
        </is>
      </c>
      <c r="H14" s="24" t="n">
        <v>0</v>
      </c>
      <c r="I14" s="23" t="inlineStr">
        <is>
          <t>—</t>
        </is>
      </c>
      <c r="J14" s="23" t="inlineStr">
        <is>
          <t>—</t>
        </is>
      </c>
      <c r="K14" s="24" t="n">
        <v>0</v>
      </c>
      <c r="L14" s="25">
        <f>H14+K14</f>
        <v/>
      </c>
      <c r="M14" s="23" t="inlineStr">
        <is>
          <t>—</t>
        </is>
      </c>
      <c r="N14" s="23" t="inlineStr">
        <is>
          <t>—</t>
        </is>
      </c>
      <c r="O14" s="24" t="n">
        <v>0</v>
      </c>
      <c r="P14" s="26" t="inlineStr">
        <is>
          <t>—</t>
        </is>
      </c>
      <c r="Q14" s="27" t="inlineStr">
        <is>
          <t>Setting excavation baseline pegs and access road clearance</t>
        </is>
      </c>
      <c r="R14" s="24">
        <f>L14+O14</f>
        <v/>
      </c>
      <c r="S14" s="28">
        <f>S13+R14</f>
        <v/>
      </c>
    </row>
    <row r="15" ht="23" customHeight="1">
      <c r="A15" s="39" t="n">
        <v>6</v>
      </c>
      <c r="B15" s="40" t="inlineStr">
        <is>
          <t>06-Aug-2026</t>
        </is>
      </c>
      <c r="C15" s="40" t="inlineStr">
        <is>
          <t>Thursday</t>
        </is>
      </c>
      <c r="D15" s="40" t="inlineStr">
        <is>
          <t>Ken &amp; Dispatch</t>
        </is>
      </c>
      <c r="E15" s="41" t="inlineStr">
        <is>
          <t>Final staging preparations prior to tracked plant arrival; bulk fuel check</t>
        </is>
      </c>
      <c r="F15" s="42" t="inlineStr">
        <is>
          <t>—</t>
        </is>
      </c>
      <c r="G15" s="42" t="inlineStr">
        <is>
          <t>—</t>
        </is>
      </c>
      <c r="H15" s="43" t="n">
        <v>0</v>
      </c>
      <c r="I15" s="42" t="inlineStr">
        <is>
          <t>—</t>
        </is>
      </c>
      <c r="J15" s="42" t="inlineStr">
        <is>
          <t>—</t>
        </is>
      </c>
      <c r="K15" s="43" t="n">
        <v>0</v>
      </c>
      <c r="L15" s="44">
        <f>H15+K15</f>
        <v/>
      </c>
      <c r="M15" s="42" t="inlineStr">
        <is>
          <t>—</t>
        </is>
      </c>
      <c r="N15" s="42" t="inlineStr">
        <is>
          <t>—</t>
        </is>
      </c>
      <c r="O15" s="43" t="n">
        <v>0</v>
      </c>
      <c r="P15" s="45" t="inlineStr">
        <is>
          <t>—</t>
        </is>
      </c>
      <c r="Q15" s="46" t="inlineStr">
        <is>
          <t>Diesel delivery &amp; secure overnight parking bays prepared</t>
        </is>
      </c>
      <c r="R15" s="43">
        <f>L15+O15</f>
        <v/>
      </c>
      <c r="S15" s="47">
        <f>S14+R15</f>
        <v/>
      </c>
    </row>
    <row r="16" ht="23" customHeight="1">
      <c r="A16" s="38" t="n">
        <v>7</v>
      </c>
      <c r="B16" s="21" t="inlineStr">
        <is>
          <t>07-Aug-2026</t>
        </is>
      </c>
      <c r="C16" s="21" t="inlineStr">
        <is>
          <t>Friday</t>
        </is>
      </c>
      <c r="D16" s="21" t="inlineStr">
        <is>
          <t>Ken &amp; Mr. Gichuhi</t>
        </is>
      </c>
      <c r="E16" s="22" t="inlineStr">
        <is>
          <t>Dam 1 groundbreaking kickoff (9:00 AM) &amp; initial excavation; spoil to Tee Boxes 5, 6, 8, 9</t>
        </is>
      </c>
      <c r="F16" s="48" t="n">
        <v>9</v>
      </c>
      <c r="G16" s="49" t="n">
        <v>8500</v>
      </c>
      <c r="H16" s="50">
        <f>F16*G16</f>
        <v/>
      </c>
      <c r="I16" s="23" t="inlineStr">
        <is>
          <t>—</t>
        </is>
      </c>
      <c r="J16" s="23" t="inlineStr">
        <is>
          <t>—</t>
        </is>
      </c>
      <c r="K16" s="24" t="n">
        <v>0</v>
      </c>
      <c r="L16" s="25">
        <f>H16+K16</f>
        <v/>
      </c>
      <c r="M16" s="51" t="n">
        <v>32</v>
      </c>
      <c r="N16" s="49" t="n">
        <v>1000</v>
      </c>
      <c r="O16" s="52">
        <f>M16*N16</f>
        <v/>
      </c>
      <c r="P16" s="26" t="inlineStr">
        <is>
          <t>—</t>
        </is>
      </c>
      <c r="Q16" s="27" t="inlineStr">
        <is>
          <t>Groundbreaking Kickoff (9:00 AM); 32 tipper loads to Tees 5, 6, 8, 9</t>
        </is>
      </c>
      <c r="R16" s="53">
        <f>L16+O16</f>
        <v/>
      </c>
      <c r="S16" s="28">
        <f>S15+R16</f>
        <v/>
      </c>
    </row>
    <row r="17" ht="23" customHeight="1">
      <c r="A17" s="54" t="n">
        <v>8</v>
      </c>
      <c r="B17" s="40" t="inlineStr">
        <is>
          <t>08-Aug-2026</t>
        </is>
      </c>
      <c r="C17" s="54" t="inlineStr">
        <is>
          <t>Saturday</t>
        </is>
      </c>
      <c r="D17" s="40" t="inlineStr">
        <is>
          <t>Ken &amp; Mr. Gichuhi</t>
        </is>
      </c>
      <c r="E17" s="41" t="inlineStr">
        <is>
          <t>Dam 1 excavation resumed (2:00 PM) upon truck arrival; murram extraction</t>
        </is>
      </c>
      <c r="F17" s="55" t="n">
        <v>2.5</v>
      </c>
      <c r="G17" s="56" t="n">
        <v>8500</v>
      </c>
      <c r="H17" s="57">
        <f>F17*G17</f>
        <v/>
      </c>
      <c r="I17" s="42" t="inlineStr">
        <is>
          <t>—</t>
        </is>
      </c>
      <c r="J17" s="42" t="inlineStr">
        <is>
          <t>—</t>
        </is>
      </c>
      <c r="K17" s="43" t="n">
        <v>0</v>
      </c>
      <c r="L17" s="44">
        <f>H17+K17</f>
        <v/>
      </c>
      <c r="M17" s="58" t="n">
        <v>19</v>
      </c>
      <c r="N17" s="56" t="n">
        <v>1000</v>
      </c>
      <c r="O17" s="59">
        <f>M17*N17</f>
        <v/>
      </c>
      <c r="P17" s="45" t="inlineStr">
        <is>
          <t>—</t>
        </is>
      </c>
      <c r="Q17" s="46" t="inlineStr">
        <is>
          <t>19 tipper loads murram hauled to future clubhouse zone</t>
        </is>
      </c>
      <c r="R17" s="60">
        <f>L17+O17</f>
        <v/>
      </c>
      <c r="S17" s="47">
        <f>S16+R17</f>
        <v/>
      </c>
    </row>
    <row r="18" ht="23" customHeight="1">
      <c r="A18" s="61" t="n">
        <v>9</v>
      </c>
      <c r="B18" s="62" t="inlineStr">
        <is>
          <t>09-Aug-2026</t>
        </is>
      </c>
      <c r="C18" s="61" t="inlineStr">
        <is>
          <t>Sunday</t>
        </is>
      </c>
      <c r="D18" s="62" t="inlineStr">
        <is>
          <t>Ken &amp; Mr. Gichuhi</t>
        </is>
      </c>
      <c r="E18" s="63" t="inlineStr">
        <is>
          <t>Dam 1 excavation advances to ~80%; mass haulage fill to Tee Boxes 1, 11–15</t>
        </is>
      </c>
      <c r="F18" s="64" t="n">
        <v>9.5</v>
      </c>
      <c r="G18" s="65" t="n">
        <v>8500</v>
      </c>
      <c r="H18" s="66">
        <f>F18*G18</f>
        <v/>
      </c>
      <c r="I18" s="67" t="inlineStr">
        <is>
          <t>—</t>
        </is>
      </c>
      <c r="J18" s="67" t="inlineStr">
        <is>
          <t>—</t>
        </is>
      </c>
      <c r="K18" s="68" t="n">
        <v>0</v>
      </c>
      <c r="L18" s="69">
        <f>H18+K18</f>
        <v/>
      </c>
      <c r="M18" s="70" t="n">
        <v>56</v>
      </c>
      <c r="N18" s="65" t="n">
        <v>1000</v>
      </c>
      <c r="O18" s="71">
        <f>M18*N18</f>
        <v/>
      </c>
      <c r="P18" s="72" t="inlineStr">
        <is>
          <t>—</t>
        </is>
      </c>
      <c r="Q18" s="73" t="inlineStr">
        <is>
          <t>56 tipper loads excavated murram to build up 6 teebox zones</t>
        </is>
      </c>
      <c r="R18" s="74">
        <f>L18+O18</f>
        <v/>
      </c>
      <c r="S18" s="75">
        <f>S17+R18</f>
        <v/>
      </c>
    </row>
    <row r="19" ht="23" customHeight="1">
      <c r="A19" s="39" t="n">
        <v>10</v>
      </c>
      <c r="B19" s="40" t="inlineStr">
        <is>
          <t>10-Aug-2026</t>
        </is>
      </c>
      <c r="C19" s="40" t="inlineStr">
        <is>
          <t>Monday</t>
        </is>
      </c>
      <c r="D19" s="40" t="inlineStr">
        <is>
          <t>Ken &amp; Mr. Gichuhi</t>
        </is>
      </c>
      <c r="E19" s="41" t="inlineStr">
        <is>
          <t>Dam 1 excavation achieves 100% completion milestone; spoil to fairway contours</t>
        </is>
      </c>
      <c r="F19" s="55" t="n">
        <v>9</v>
      </c>
      <c r="G19" s="56" t="n">
        <v>8500</v>
      </c>
      <c r="H19" s="57">
        <f>F19*G19</f>
        <v/>
      </c>
      <c r="I19" s="42" t="inlineStr">
        <is>
          <t>—</t>
        </is>
      </c>
      <c r="J19" s="42" t="inlineStr">
        <is>
          <t>—</t>
        </is>
      </c>
      <c r="K19" s="43" t="n">
        <v>0</v>
      </c>
      <c r="L19" s="44">
        <f>H19+K19</f>
        <v/>
      </c>
      <c r="M19" s="58" t="n">
        <v>54</v>
      </c>
      <c r="N19" s="56" t="n">
        <v>1000</v>
      </c>
      <c r="O19" s="59">
        <f>M19*N19</f>
        <v/>
      </c>
      <c r="P19" s="45" t="inlineStr">
        <is>
          <t>—</t>
        </is>
      </c>
      <c r="Q19" s="46" t="inlineStr">
        <is>
          <t>Dam 1 100% Excavation Completion Milestone; 54 tipper loads hauled</t>
        </is>
      </c>
      <c r="R19" s="60">
        <f>L19+O19</f>
        <v/>
      </c>
      <c r="S19" s="47">
        <f>S18+R19</f>
        <v/>
      </c>
    </row>
    <row r="20" ht="23" customHeight="1">
      <c r="A20" s="38" t="n">
        <v>11</v>
      </c>
      <c r="B20" s="21" t="inlineStr">
        <is>
          <t>11-Aug-2026</t>
        </is>
      </c>
      <c r="C20" s="21" t="inlineStr">
        <is>
          <t>Tuesday</t>
        </is>
      </c>
      <c r="D20" s="21" t="inlineStr">
        <is>
          <t>Ken &amp; Mr. Gichuhi</t>
        </is>
      </c>
      <c r="E20" s="22" t="inlineStr">
        <is>
          <t>Dam 1 wall shaping, side batter scouring &amp; murram level deep excavation</t>
        </is>
      </c>
      <c r="F20" s="48" t="n">
        <v>8.75</v>
      </c>
      <c r="G20" s="49" t="n">
        <v>8500</v>
      </c>
      <c r="H20" s="50">
        <f>F20*G20</f>
        <v/>
      </c>
      <c r="I20" s="23" t="inlineStr">
        <is>
          <t>—</t>
        </is>
      </c>
      <c r="J20" s="23" t="inlineStr">
        <is>
          <t>—</t>
        </is>
      </c>
      <c r="K20" s="24" t="n">
        <v>0</v>
      </c>
      <c r="L20" s="25">
        <f>H20+K20</f>
        <v/>
      </c>
      <c r="M20" s="51" t="n">
        <v>48</v>
      </c>
      <c r="N20" s="49" t="n">
        <v>1000</v>
      </c>
      <c r="O20" s="52">
        <f>M20*N20</f>
        <v/>
      </c>
      <c r="P20" s="26" t="inlineStr">
        <is>
          <t>—</t>
        </is>
      </c>
      <c r="Q20" s="27" t="inlineStr">
        <is>
          <t>Hardcore rock delivery; Green 3 manual sub-base laying commenced</t>
        </is>
      </c>
      <c r="R20" s="53">
        <f>L20+O20</f>
        <v/>
      </c>
      <c r="S20" s="28">
        <f>S19+R20</f>
        <v/>
      </c>
    </row>
    <row r="21" ht="23" customHeight="1">
      <c r="A21" s="39" t="n">
        <v>12</v>
      </c>
      <c r="B21" s="40" t="inlineStr">
        <is>
          <t>12-Aug-2026</t>
        </is>
      </c>
      <c r="C21" s="40" t="inlineStr">
        <is>
          <t>Wednesday</t>
        </is>
      </c>
      <c r="D21" s="40" t="inlineStr">
        <is>
          <t>Ken &amp; Mr. Gichuhi</t>
        </is>
      </c>
      <c r="E21" s="41" t="inlineStr">
        <is>
          <t>Dam 2 excavation commencement; spoil dumped along old quad tracks; massive materials</t>
        </is>
      </c>
      <c r="F21" s="55" t="n">
        <v>9.5</v>
      </c>
      <c r="G21" s="56" t="n">
        <v>8500</v>
      </c>
      <c r="H21" s="57">
        <f>F21*G21</f>
        <v/>
      </c>
      <c r="I21" s="42" t="inlineStr">
        <is>
          <t>—</t>
        </is>
      </c>
      <c r="J21" s="42" t="inlineStr">
        <is>
          <t>—</t>
        </is>
      </c>
      <c r="K21" s="43" t="n">
        <v>0</v>
      </c>
      <c r="L21" s="44">
        <f>H21+K21</f>
        <v/>
      </c>
      <c r="M21" s="58" t="n">
        <v>77</v>
      </c>
      <c r="N21" s="56" t="n">
        <v>1000</v>
      </c>
      <c r="O21" s="59">
        <f>M21*N21</f>
        <v/>
      </c>
      <c r="P21" s="45" t="inlineStr">
        <is>
          <t>—</t>
        </is>
      </c>
      <c r="Q21" s="46" t="inlineStr">
        <is>
          <t>18 loads red soil + 18 loads hardcore + 3 ballast + PVC pipes; gate straightened</t>
        </is>
      </c>
      <c r="R21" s="60">
        <f>L21+O21</f>
        <v/>
      </c>
      <c r="S21" s="47">
        <f>S20+R21</f>
        <v/>
      </c>
    </row>
    <row r="22" ht="23" customHeight="1">
      <c r="A22" s="38" t="n">
        <v>13</v>
      </c>
      <c r="B22" s="21" t="inlineStr">
        <is>
          <t>13-Aug-2026</t>
        </is>
      </c>
      <c r="C22" s="21" t="inlineStr">
        <is>
          <t>Thursday</t>
        </is>
      </c>
      <c r="D22" s="21" t="inlineStr">
        <is>
          <t>Ken &amp; Mr. Gichuhi</t>
        </is>
      </c>
      <c r="E22" s="22" t="inlineStr">
        <is>
          <t>Backhoe arrived (10:00 AM); Dam 2 excavation (~60%), Dam 1 levelling; peak haulage day</t>
        </is>
      </c>
      <c r="F22" s="48" t="n">
        <v>9.85</v>
      </c>
      <c r="G22" s="49" t="n">
        <v>8500</v>
      </c>
      <c r="H22" s="50">
        <f>F22*G22</f>
        <v/>
      </c>
      <c r="I22" s="48" t="n">
        <v>6.891025641025641</v>
      </c>
      <c r="J22" s="49" t="n">
        <v>6500</v>
      </c>
      <c r="K22" s="50">
        <f>I22*J22</f>
        <v/>
      </c>
      <c r="L22" s="25">
        <f>H22+K22</f>
        <v/>
      </c>
      <c r="M22" s="51" t="n">
        <v>82</v>
      </c>
      <c r="N22" s="49" t="n">
        <v>1000</v>
      </c>
      <c r="O22" s="52">
        <f>M22*N22</f>
        <v/>
      </c>
      <c r="P22" s="26" t="inlineStr">
        <is>
          <t>—</t>
        </is>
      </c>
      <c r="Q22" s="27" t="inlineStr">
        <is>
          <t>Peak Haulage Day (82 Trips); Green 3 red topsoil grading active</t>
        </is>
      </c>
      <c r="R22" s="53">
        <f>L22+O22</f>
        <v/>
      </c>
      <c r="S22" s="28">
        <f>S21+R22</f>
        <v/>
      </c>
    </row>
    <row r="23" ht="23" customHeight="1">
      <c r="A23" s="39" t="n">
        <v>14</v>
      </c>
      <c r="B23" s="40" t="inlineStr">
        <is>
          <t>14-Aug-2026</t>
        </is>
      </c>
      <c r="C23" s="40" t="inlineStr">
        <is>
          <t>Friday</t>
        </is>
      </c>
      <c r="D23" s="40" t="inlineStr">
        <is>
          <t>Ken &amp; Mr. Gichuhi</t>
        </is>
      </c>
      <c r="E23" s="41" t="inlineStr">
        <is>
          <t>Dam 2 Round 2 deepening &amp; Dam 1 wall smoothening; Greens 5, 7 apron grading</t>
        </is>
      </c>
      <c r="F23" s="55" t="n">
        <v>9.5</v>
      </c>
      <c r="G23" s="56" t="n">
        <v>8500</v>
      </c>
      <c r="H23" s="57">
        <f>F23*G23</f>
        <v/>
      </c>
      <c r="I23" s="55" t="n">
        <v>8.166666666666666</v>
      </c>
      <c r="J23" s="56" t="n">
        <v>6500</v>
      </c>
      <c r="K23" s="57">
        <f>I23*J23</f>
        <v/>
      </c>
      <c r="L23" s="44">
        <f>H23+K23</f>
        <v/>
      </c>
      <c r="M23" s="58" t="n">
        <v>75</v>
      </c>
      <c r="N23" s="56" t="n">
        <v>1000</v>
      </c>
      <c r="O23" s="59">
        <f>M23*N23</f>
        <v/>
      </c>
      <c r="P23" s="45" t="inlineStr">
        <is>
          <t>—</t>
        </is>
      </c>
      <c r="Q23" s="46" t="inlineStr">
        <is>
          <t>Rock breaking on Greens 1–3; DeKUT Wildlife Conservancy tour with Joe Mucheru</t>
        </is>
      </c>
      <c r="R23" s="60">
        <f>L23+O23</f>
        <v/>
      </c>
      <c r="S23" s="47">
        <f>S22+R23</f>
        <v/>
      </c>
    </row>
    <row r="24" ht="23" customHeight="1">
      <c r="A24" s="20" t="n">
        <v>15</v>
      </c>
      <c r="B24" s="21" t="inlineStr">
        <is>
          <t>15-Aug-2026</t>
        </is>
      </c>
      <c r="C24" s="20" t="inlineStr">
        <is>
          <t>Saturday</t>
        </is>
      </c>
      <c r="D24" s="21" t="inlineStr">
        <is>
          <t>Ken &amp; Mr. Gichuhi</t>
        </is>
      </c>
      <c r="E24" s="22" t="inlineStr">
        <is>
          <t>Dam 2 murram deepening, Teebox No. 5 levelling completed (100%); old roads clearance</t>
        </is>
      </c>
      <c r="F24" s="48" t="n">
        <v>6.5</v>
      </c>
      <c r="G24" s="49" t="n">
        <v>8500</v>
      </c>
      <c r="H24" s="50">
        <f>F24*G24</f>
        <v/>
      </c>
      <c r="I24" s="48" t="n">
        <v>4.5</v>
      </c>
      <c r="J24" s="49" t="n">
        <v>6500</v>
      </c>
      <c r="K24" s="50">
        <f>I24*J24</f>
        <v/>
      </c>
      <c r="L24" s="25">
        <f>H24+K24</f>
        <v/>
      </c>
      <c r="M24" s="51" t="n">
        <v>26</v>
      </c>
      <c r="N24" s="49" t="n">
        <v>1000</v>
      </c>
      <c r="O24" s="52">
        <f>M24*N24</f>
        <v/>
      </c>
      <c r="P24" s="26" t="inlineStr">
        <is>
          <t>—</t>
        </is>
      </c>
      <c r="Q24" s="27" t="inlineStr">
        <is>
          <t>Teebox 5 100% complete; PVC drainage pipes laid; Architect Kevin Njoroge visit</t>
        </is>
      </c>
      <c r="R24" s="53">
        <f>L24+O24</f>
        <v/>
      </c>
      <c r="S24" s="28">
        <f>S23+R24</f>
        <v/>
      </c>
    </row>
    <row r="25" ht="23" customHeight="1">
      <c r="A25" s="29" t="n">
        <v>16</v>
      </c>
      <c r="B25" s="30" t="inlineStr">
        <is>
          <t>16-Aug-2026</t>
        </is>
      </c>
      <c r="C25" s="29" t="inlineStr">
        <is>
          <t>Sunday</t>
        </is>
      </c>
      <c r="D25" s="30" t="inlineStr">
        <is>
          <t>Ken &amp; Mr. Gichuhi</t>
        </is>
      </c>
      <c r="E25" s="31" t="inlineStr">
        <is>
          <t>Dam 3 groundbreaking kickoff; old golf course roads grading &amp; fairway contouring</t>
        </is>
      </c>
      <c r="F25" s="76" t="n">
        <v>7</v>
      </c>
      <c r="G25" s="77" t="n">
        <v>8500</v>
      </c>
      <c r="H25" s="78">
        <f>F25*G25</f>
        <v/>
      </c>
      <c r="I25" s="76" t="n">
        <v>7</v>
      </c>
      <c r="J25" s="77" t="n">
        <v>6500</v>
      </c>
      <c r="K25" s="78">
        <f>I25*J25</f>
        <v/>
      </c>
      <c r="L25" s="34">
        <f>H25+K25</f>
        <v/>
      </c>
      <c r="M25" s="79" t="n">
        <v>65</v>
      </c>
      <c r="N25" s="77" t="n">
        <v>1000</v>
      </c>
      <c r="O25" s="80">
        <f>M25*N25</f>
        <v/>
      </c>
      <c r="P25" s="35" t="inlineStr">
        <is>
          <t>—</t>
        </is>
      </c>
      <c r="Q25" s="36" t="inlineStr">
        <is>
          <t>Dam 3 Groundbreaking Kickoff; 65 tipper trips across course roads</t>
        </is>
      </c>
      <c r="R25" s="81">
        <f>L25+O25</f>
        <v/>
      </c>
      <c r="S25" s="37">
        <f>S24+R25</f>
        <v/>
      </c>
    </row>
    <row r="26" ht="23" customHeight="1">
      <c r="A26" s="38" t="n">
        <v>17</v>
      </c>
      <c r="B26" s="21" t="inlineStr">
        <is>
          <t>17-Aug-2026</t>
        </is>
      </c>
      <c r="C26" s="21" t="inlineStr">
        <is>
          <t>Monday</t>
        </is>
      </c>
      <c r="D26" s="21" t="inlineStr">
        <is>
          <t>Ken &amp; Mr. Gichuhi</t>
        </is>
      </c>
      <c r="E26" s="22" t="inlineStr">
        <is>
          <t>Dam 3 deep basin cutting &amp; tipper loading; Backhoe non-operational (idle maintenance)</t>
        </is>
      </c>
      <c r="F26" s="48" t="n">
        <v>9</v>
      </c>
      <c r="G26" s="49" t="n">
        <v>8500</v>
      </c>
      <c r="H26" s="50">
        <f>F26*G26</f>
        <v/>
      </c>
      <c r="I26" s="23" t="inlineStr">
        <is>
          <t>—</t>
        </is>
      </c>
      <c r="J26" s="23" t="inlineStr">
        <is>
          <t>—</t>
        </is>
      </c>
      <c r="K26" s="24" t="n">
        <v>0</v>
      </c>
      <c r="L26" s="25">
        <f>H26+K26</f>
        <v/>
      </c>
      <c r="M26" s="51" t="n">
        <v>75</v>
      </c>
      <c r="N26" s="49" t="n">
        <v>1000</v>
      </c>
      <c r="O26" s="52">
        <f>M26*N26</f>
        <v/>
      </c>
      <c r="P26" s="26" t="inlineStr">
        <is>
          <t>—</t>
        </is>
      </c>
      <c r="Q26" s="27" t="inlineStr">
        <is>
          <t>Backhoe idle for routine servicing ($0); 75 tipper trips Dam 3 spoil</t>
        </is>
      </c>
      <c r="R26" s="53">
        <f>L26+O26</f>
        <v/>
      </c>
      <c r="S26" s="28">
        <f>S25+R26</f>
        <v/>
      </c>
    </row>
    <row r="27" ht="23" customHeight="1">
      <c r="A27" s="39" t="n">
        <v>18</v>
      </c>
      <c r="B27" s="40" t="inlineStr">
        <is>
          <t>18-Aug-2026</t>
        </is>
      </c>
      <c r="C27" s="40" t="inlineStr">
        <is>
          <t>Tuesday</t>
        </is>
      </c>
      <c r="D27" s="40" t="inlineStr">
        <is>
          <t>Mr. Gichuhi &amp; Kinoti</t>
        </is>
      </c>
      <c r="E27" s="41" t="inlineStr">
        <is>
          <t>Dam 3 basin floor deepening, embankment profiling, Tee Box 16 grading</t>
        </is>
      </c>
      <c r="F27" s="55" t="n">
        <v>8.5</v>
      </c>
      <c r="G27" s="56" t="n">
        <v>8500</v>
      </c>
      <c r="H27" s="57">
        <f>F27*G27</f>
        <v/>
      </c>
      <c r="I27" s="55" t="n">
        <v>7.333333333333334</v>
      </c>
      <c r="J27" s="56" t="n">
        <v>6500</v>
      </c>
      <c r="K27" s="57">
        <f>I27*J27</f>
        <v/>
      </c>
      <c r="L27" s="44">
        <f>H27+K27</f>
        <v/>
      </c>
      <c r="M27" s="58" t="n">
        <v>79</v>
      </c>
      <c r="N27" s="56" t="n">
        <v>1000</v>
      </c>
      <c r="O27" s="59">
        <f>M27*N27</f>
        <v/>
      </c>
      <c r="P27" s="82" t="inlineStr">
        <is>
          <t>2 Trips Timber Posts</t>
        </is>
      </c>
      <c r="Q27" s="46" t="inlineStr">
        <is>
          <t>Pumice volcanic rock delivered for Greens 1–3; 2 tractor trips timber posts</t>
        </is>
      </c>
      <c r="R27" s="60">
        <f>L27+O27</f>
        <v/>
      </c>
      <c r="S27" s="47">
        <f>S26+R27</f>
        <v/>
      </c>
    </row>
    <row r="28" ht="23" customHeight="1">
      <c r="A28" s="38" t="n">
        <v>19</v>
      </c>
      <c r="B28" s="21" t="inlineStr">
        <is>
          <t>19-Aug-2026</t>
        </is>
      </c>
      <c r="C28" s="21" t="inlineStr">
        <is>
          <t>Wednesday</t>
        </is>
      </c>
      <c r="D28" s="21" t="inlineStr">
        <is>
          <t>Mr. Gichuhi &amp; Ken</t>
        </is>
      </c>
      <c r="E28" s="22" t="inlineStr">
        <is>
          <t>Dam 3 excavation, Dam 2 basin shaping, Tee Box 9 levelling &amp; dumped soil grading</t>
        </is>
      </c>
      <c r="F28" s="48" t="n">
        <v>7</v>
      </c>
      <c r="G28" s="49" t="n">
        <v>8500</v>
      </c>
      <c r="H28" s="50">
        <f>F28*G28</f>
        <v/>
      </c>
      <c r="I28" s="48" t="n">
        <v>8</v>
      </c>
      <c r="J28" s="49" t="n">
        <v>6500</v>
      </c>
      <c r="K28" s="50">
        <f>I28*J28</f>
        <v/>
      </c>
      <c r="L28" s="25">
        <f>H28+K28</f>
        <v/>
      </c>
      <c r="M28" s="51" t="n">
        <v>72</v>
      </c>
      <c r="N28" s="49" t="n">
        <v>1000</v>
      </c>
      <c r="O28" s="52">
        <f>M28*N28</f>
        <v/>
      </c>
      <c r="P28" s="83" t="inlineStr">
        <is>
          <t>1 Trip Timber Posts</t>
        </is>
      </c>
      <c r="Q28" s="27" t="inlineStr">
        <is>
          <t>1 tractor trip timber; sub-surface drainage layout; site aerial drone survey</t>
        </is>
      </c>
      <c r="R28" s="53">
        <f>L28+O28</f>
        <v/>
      </c>
      <c r="S28" s="28">
        <f>S27+R28</f>
        <v/>
      </c>
    </row>
    <row r="29" ht="23" customHeight="1">
      <c r="A29" s="39" t="n">
        <v>20</v>
      </c>
      <c r="B29" s="40" t="inlineStr">
        <is>
          <t>20-Aug-2026</t>
        </is>
      </c>
      <c r="C29" s="40" t="inlineStr">
        <is>
          <t>Thursday</t>
        </is>
      </c>
      <c r="D29" s="40" t="inlineStr">
        <is>
          <t>Mr. Gichuhi &amp; Ken</t>
        </is>
      </c>
      <c r="E29" s="41" t="inlineStr">
        <is>
          <t>Dam 3 100% completion milestone; Dam 2 deepening; Tee Box 7 levelling</t>
        </is>
      </c>
      <c r="F29" s="55" t="n">
        <v>9</v>
      </c>
      <c r="G29" s="56" t="n">
        <v>8500</v>
      </c>
      <c r="H29" s="57">
        <f>F29*G29</f>
        <v/>
      </c>
      <c r="I29" s="55" t="n">
        <v>8</v>
      </c>
      <c r="J29" s="56" t="n">
        <v>6500</v>
      </c>
      <c r="K29" s="57">
        <f>I29*J29</f>
        <v/>
      </c>
      <c r="L29" s="44">
        <f>H29+K29</f>
        <v/>
      </c>
      <c r="M29" s="58" t="n">
        <v>47</v>
      </c>
      <c r="N29" s="56" t="n">
        <v>1000</v>
      </c>
      <c r="O29" s="59">
        <f>M29*N29</f>
        <v/>
      </c>
      <c r="P29" s="45" t="inlineStr">
        <is>
          <t>—</t>
        </is>
      </c>
      <c r="Q29" s="46" t="inlineStr">
        <is>
          <t>Dam 3 100% Completion (3 Reservoirs Delivered!); timber posts transferred</t>
        </is>
      </c>
      <c r="R29" s="60">
        <f>L29+O29</f>
        <v/>
      </c>
      <c r="S29" s="47">
        <f>S28+R29</f>
        <v/>
      </c>
    </row>
    <row r="30" ht="23" customHeight="1">
      <c r="A30" s="38" t="n">
        <v>21</v>
      </c>
      <c r="B30" s="21" t="inlineStr">
        <is>
          <t>21-Aug-2026</t>
        </is>
      </c>
      <c r="C30" s="21" t="inlineStr">
        <is>
          <t>Friday</t>
        </is>
      </c>
      <c r="D30" s="21" t="inlineStr">
        <is>
          <t>Mr. Gichuhi &amp; Ken</t>
        </is>
      </c>
      <c r="E30" s="22" t="inlineStr">
        <is>
          <t>Final day of Excavator &amp; Tipper campaign. Dam 2 murram excavation &amp; clubhouse haulage</t>
        </is>
      </c>
      <c r="F30" s="48" t="n">
        <v>8.5</v>
      </c>
      <c r="G30" s="49" t="n">
        <v>8500</v>
      </c>
      <c r="H30" s="50">
        <f>F30*G30</f>
        <v/>
      </c>
      <c r="I30" s="48" t="n">
        <v>6.83</v>
      </c>
      <c r="J30" s="49" t="n">
        <v>6500</v>
      </c>
      <c r="K30" s="50">
        <f>I30*J30</f>
        <v/>
      </c>
      <c r="L30" s="25">
        <f>H30+K30</f>
        <v/>
      </c>
      <c r="M30" s="51" t="n">
        <v>35</v>
      </c>
      <c r="N30" s="49" t="n">
        <v>1000</v>
      </c>
      <c r="O30" s="52">
        <f>M30*N30</f>
        <v/>
      </c>
      <c r="P30" s="26" t="inlineStr">
        <is>
          <t>—</t>
        </is>
      </c>
      <c r="Q30" s="27" t="inlineStr">
        <is>
          <t>Final shift Excavator &amp; Tippers; manual brush clearance on Greens 14, 15, 16</t>
        </is>
      </c>
      <c r="R30" s="53">
        <f>L30+O30</f>
        <v/>
      </c>
      <c r="S30" s="28">
        <f>S29+R30</f>
        <v/>
      </c>
    </row>
    <row r="31" ht="23" customHeight="1">
      <c r="A31" s="54" t="n">
        <v>22</v>
      </c>
      <c r="B31" s="40" t="inlineStr">
        <is>
          <t>22-Aug-2026</t>
        </is>
      </c>
      <c r="C31" s="54" t="inlineStr">
        <is>
          <t>Saturday</t>
        </is>
      </c>
      <c r="D31" s="40" t="inlineStr">
        <is>
          <t>Mr. Gichuhi &amp; Kinoti</t>
        </is>
      </c>
      <c r="E31" s="41" t="inlineStr">
        <is>
          <t>Dam 2 clearance, boundary palm tree holes, Tee 15 leveling; Executive walkthrough</t>
        </is>
      </c>
      <c r="F31" s="42" t="inlineStr">
        <is>
          <t>—</t>
        </is>
      </c>
      <c r="G31" s="42" t="inlineStr">
        <is>
          <t>—</t>
        </is>
      </c>
      <c r="H31" s="43" t="n">
        <v>0</v>
      </c>
      <c r="I31" s="55" t="n">
        <v>8</v>
      </c>
      <c r="J31" s="56" t="n">
        <v>6500</v>
      </c>
      <c r="K31" s="57">
        <f>I31*J31</f>
        <v/>
      </c>
      <c r="L31" s="44">
        <f>H31+K31</f>
        <v/>
      </c>
      <c r="M31" s="42" t="inlineStr">
        <is>
          <t>—</t>
        </is>
      </c>
      <c r="N31" s="42" t="inlineStr">
        <is>
          <t>—</t>
        </is>
      </c>
      <c r="O31" s="43" t="n">
        <v>0</v>
      </c>
      <c r="P31" s="82" t="inlineStr">
        <is>
          <t>15 Trips (12 Golf + 3 Farm)</t>
        </is>
      </c>
      <c r="Q31" s="46" t="inlineStr">
        <is>
          <t>Executive walkthrough with Joe Mucheru; 15 tractor trailer trips; lime survey</t>
        </is>
      </c>
      <c r="R31" s="60">
        <f>L31+O31</f>
        <v/>
      </c>
      <c r="S31" s="47">
        <f>S30+R31</f>
        <v/>
      </c>
    </row>
    <row r="32" ht="23" customHeight="1">
      <c r="A32" s="61" t="n">
        <v>23</v>
      </c>
      <c r="B32" s="62" t="inlineStr">
        <is>
          <t>23-Aug-2026</t>
        </is>
      </c>
      <c r="C32" s="61" t="inlineStr">
        <is>
          <t>Sunday</t>
        </is>
      </c>
      <c r="D32" s="62" t="inlineStr">
        <is>
          <t>Mr. Gichuhi &amp; Ken</t>
        </is>
      </c>
      <c r="E32" s="63" t="inlineStr">
        <is>
          <t>Boundary palm tree hole excavation, entrance leveling; main drainage trench alignment</t>
        </is>
      </c>
      <c r="F32" s="67" t="inlineStr">
        <is>
          <t>—</t>
        </is>
      </c>
      <c r="G32" s="67" t="inlineStr">
        <is>
          <t>—</t>
        </is>
      </c>
      <c r="H32" s="68" t="n">
        <v>0</v>
      </c>
      <c r="I32" s="64" t="n">
        <v>7.5</v>
      </c>
      <c r="J32" s="65" t="n">
        <v>6500</v>
      </c>
      <c r="K32" s="66">
        <f>I32*J32</f>
        <v/>
      </c>
      <c r="L32" s="69">
        <f>H32+K32</f>
        <v/>
      </c>
      <c r="M32" s="67" t="inlineStr">
        <is>
          <t>—</t>
        </is>
      </c>
      <c r="N32" s="67" t="inlineStr">
        <is>
          <t>—</t>
        </is>
      </c>
      <c r="O32" s="68" t="n">
        <v>0</v>
      </c>
      <c r="P32" s="72" t="inlineStr">
        <is>
          <t>—</t>
        </is>
      </c>
      <c r="Q32" s="73" t="inlineStr">
        <is>
          <t>Drainage trench layout to dams with Joe Mucheru; hardcore foundation QA</t>
        </is>
      </c>
      <c r="R32" s="74">
        <f>L32+O32</f>
        <v/>
      </c>
      <c r="S32" s="75">
        <f>S31+R32</f>
        <v/>
      </c>
    </row>
    <row r="33" ht="23" customHeight="1">
      <c r="A33" s="39" t="n">
        <v>24</v>
      </c>
      <c r="B33" s="40" t="inlineStr">
        <is>
          <t>24-Aug-2026</t>
        </is>
      </c>
      <c r="C33" s="40" t="inlineStr">
        <is>
          <t>Monday</t>
        </is>
      </c>
      <c r="D33" s="40" t="inlineStr">
        <is>
          <t>Mr. Gichuhi &amp; Ken</t>
        </is>
      </c>
      <c r="E33" s="41" t="inlineStr">
        <is>
          <t>Teebox leveling across 5 tees (Tees 11, 12, 13, 14, 17) &amp; road grading</t>
        </is>
      </c>
      <c r="F33" s="42" t="inlineStr">
        <is>
          <t>—</t>
        </is>
      </c>
      <c r="G33" s="42" t="inlineStr">
        <is>
          <t>—</t>
        </is>
      </c>
      <c r="H33" s="43" t="n">
        <v>0</v>
      </c>
      <c r="I33" s="55" t="n">
        <v>7.17</v>
      </c>
      <c r="J33" s="56" t="n">
        <v>6500</v>
      </c>
      <c r="K33" s="57">
        <f>I33*J33</f>
        <v/>
      </c>
      <c r="L33" s="44">
        <f>H33+K33</f>
        <v/>
      </c>
      <c r="M33" s="42" t="inlineStr">
        <is>
          <t>—</t>
        </is>
      </c>
      <c r="N33" s="42" t="inlineStr">
        <is>
          <t>—</t>
        </is>
      </c>
      <c r="O33" s="43" t="n">
        <v>0</v>
      </c>
      <c r="P33" s="82" t="inlineStr">
        <is>
          <t>Green 10 Plough &amp; Rotavate</t>
        </is>
      </c>
      <c r="Q33" s="46" t="inlineStr">
        <is>
          <t>Green 10 deep mechanical ploughing &amp; rotavation by farm tractor; drainage trenching</t>
        </is>
      </c>
      <c r="R33" s="60">
        <f>L33+O33</f>
        <v/>
      </c>
      <c r="S33" s="47">
        <f>S32+R33</f>
        <v/>
      </c>
    </row>
    <row r="34" ht="23" customHeight="1">
      <c r="A34" s="38" t="n">
        <v>25</v>
      </c>
      <c r="B34" s="21" t="inlineStr">
        <is>
          <t>25-Aug-2026</t>
        </is>
      </c>
      <c r="C34" s="21" t="inlineStr">
        <is>
          <t>Tuesday</t>
        </is>
      </c>
      <c r="D34" s="21" t="inlineStr">
        <is>
          <t>Mr. Gichuhi &amp; Ken</t>
        </is>
      </c>
      <c r="E34" s="22" t="inlineStr">
        <is>
          <t>Teebox leveling across 6 tees (Tees 1–4, 10, 11), earthmoving &amp; grading</t>
        </is>
      </c>
      <c r="F34" s="23" t="inlineStr">
        <is>
          <t>—</t>
        </is>
      </c>
      <c r="G34" s="23" t="inlineStr">
        <is>
          <t>—</t>
        </is>
      </c>
      <c r="H34" s="24" t="n">
        <v>0</v>
      </c>
      <c r="I34" s="48" t="n">
        <v>8.5</v>
      </c>
      <c r="J34" s="49" t="n">
        <v>6500</v>
      </c>
      <c r="K34" s="50">
        <f>I34*J34</f>
        <v/>
      </c>
      <c r="L34" s="25">
        <f>H34+K34</f>
        <v/>
      </c>
      <c r="M34" s="23" t="inlineStr">
        <is>
          <t>—</t>
        </is>
      </c>
      <c r="N34" s="23" t="inlineStr">
        <is>
          <t>—</t>
        </is>
      </c>
      <c r="O34" s="24" t="n">
        <v>0</v>
      </c>
      <c r="P34" s="26" t="inlineStr">
        <is>
          <t>—</t>
        </is>
      </c>
      <c r="Q34" s="27" t="inlineStr">
        <is>
          <t>Green 10 surface clearance; teebox hardcore revetment inspection</t>
        </is>
      </c>
      <c r="R34" s="53">
        <f>L34+O34</f>
        <v/>
      </c>
      <c r="S34" s="28">
        <f>S33+R34</f>
        <v/>
      </c>
    </row>
    <row r="35" ht="23" customHeight="1">
      <c r="A35" s="39" t="n">
        <v>26</v>
      </c>
      <c r="B35" s="40" t="inlineStr">
        <is>
          <t>26-Aug-2026</t>
        </is>
      </c>
      <c r="C35" s="40" t="inlineStr">
        <is>
          <t>Wednesday</t>
        </is>
      </c>
      <c r="D35" s="40" t="inlineStr">
        <is>
          <t>Mr. Gichuhi &amp; Ken</t>
        </is>
      </c>
      <c r="E35" s="41" t="inlineStr">
        <is>
          <t>Uneven ground leveling, rough shaping, Teebox 4 &amp; 18 grading, spreading dumped spoil</t>
        </is>
      </c>
      <c r="F35" s="42" t="inlineStr">
        <is>
          <t>—</t>
        </is>
      </c>
      <c r="G35" s="42" t="inlineStr">
        <is>
          <t>—</t>
        </is>
      </c>
      <c r="H35" s="43" t="n">
        <v>0</v>
      </c>
      <c r="I35" s="55" t="n">
        <v>9</v>
      </c>
      <c r="J35" s="56" t="n">
        <v>6500</v>
      </c>
      <c r="K35" s="57">
        <f>I35*J35</f>
        <v/>
      </c>
      <c r="L35" s="44">
        <f>H35+K35</f>
        <v/>
      </c>
      <c r="M35" s="42" t="inlineStr">
        <is>
          <t>—</t>
        </is>
      </c>
      <c r="N35" s="42" t="inlineStr">
        <is>
          <t>—</t>
        </is>
      </c>
      <c r="O35" s="43" t="n">
        <v>0</v>
      </c>
      <c r="P35" s="45" t="inlineStr">
        <is>
          <t>—</t>
        </is>
      </c>
      <c r="Q35" s="46" t="inlineStr">
        <is>
          <t>Bulk hardcore deliveries for Greens 11, 14, 15, 16; Green 15 hand packing</t>
        </is>
      </c>
      <c r="R35" s="60">
        <f>L35+O35</f>
        <v/>
      </c>
      <c r="S35" s="47">
        <f>S34+R35</f>
        <v/>
      </c>
    </row>
    <row r="36" ht="23" customHeight="1">
      <c r="A36" s="38" t="n">
        <v>27</v>
      </c>
      <c r="B36" s="21" t="inlineStr">
        <is>
          <t>27-Aug-2026</t>
        </is>
      </c>
      <c r="C36" s="21" t="inlineStr">
        <is>
          <t>Thursday</t>
        </is>
      </c>
      <c r="D36" s="21" t="inlineStr">
        <is>
          <t>Mr. Gichuhi &amp; Ken</t>
        </is>
      </c>
      <c r="E36" s="22" t="inlineStr">
        <is>
          <t>Peak Backhoe shift (10.0 hrs): ground leveling &amp; rough grading Green 5 &amp; 7 corridors</t>
        </is>
      </c>
      <c r="F36" s="23" t="inlineStr">
        <is>
          <t>—</t>
        </is>
      </c>
      <c r="G36" s="23" t="inlineStr">
        <is>
          <t>—</t>
        </is>
      </c>
      <c r="H36" s="24" t="n">
        <v>0</v>
      </c>
      <c r="I36" s="48" t="n">
        <v>10</v>
      </c>
      <c r="J36" s="49" t="n">
        <v>6500</v>
      </c>
      <c r="K36" s="50">
        <f>I36*J36</f>
        <v/>
      </c>
      <c r="L36" s="25">
        <f>H36+K36</f>
        <v/>
      </c>
      <c r="M36" s="23" t="inlineStr">
        <is>
          <t>—</t>
        </is>
      </c>
      <c r="N36" s="23" t="inlineStr">
        <is>
          <t>—</t>
        </is>
      </c>
      <c r="O36" s="24" t="n">
        <v>0</v>
      </c>
      <c r="P36" s="26" t="inlineStr">
        <is>
          <t>—</t>
        </is>
      </c>
      <c r="Q36" s="27" t="inlineStr">
        <is>
          <t>Peak Backhoe Shift (10h); Green 14 rock packing; 2nd nine bulk materials staged</t>
        </is>
      </c>
      <c r="R36" s="53">
        <f>L36+O36</f>
        <v/>
      </c>
      <c r="S36" s="28">
        <f>S35+R36</f>
        <v/>
      </c>
    </row>
    <row r="37" ht="23" customHeight="1">
      <c r="A37" s="39" t="n">
        <v>28</v>
      </c>
      <c r="B37" s="40" t="inlineStr">
        <is>
          <t>28-Aug-2026</t>
        </is>
      </c>
      <c r="C37" s="40" t="inlineStr">
        <is>
          <t>Friday</t>
        </is>
      </c>
      <c r="D37" s="40" t="inlineStr">
        <is>
          <t>Mr. Gichuhi &amp; Ken</t>
        </is>
      </c>
      <c r="E37" s="41" t="inlineStr">
        <is>
          <t>Soil clearing Green 6, leveling Green 8, Teebox 5 &amp; 8 grading; Cost alignment meeting</t>
        </is>
      </c>
      <c r="F37" s="42" t="inlineStr">
        <is>
          <t>—</t>
        </is>
      </c>
      <c r="G37" s="42" t="inlineStr">
        <is>
          <t>—</t>
        </is>
      </c>
      <c r="H37" s="43" t="n">
        <v>0</v>
      </c>
      <c r="I37" s="55" t="n">
        <v>8.67</v>
      </c>
      <c r="J37" s="56" t="n">
        <v>6500</v>
      </c>
      <c r="K37" s="57">
        <f>I37*J37</f>
        <v/>
      </c>
      <c r="L37" s="44">
        <f>H37+K37</f>
        <v/>
      </c>
      <c r="M37" s="42" t="inlineStr">
        <is>
          <t>—</t>
        </is>
      </c>
      <c r="N37" s="42" t="inlineStr">
        <is>
          <t>—</t>
        </is>
      </c>
      <c r="O37" s="43" t="n">
        <v>0</v>
      </c>
      <c r="P37" s="82" t="inlineStr">
        <is>
          <t>Organic Manure Transfer</t>
        </is>
      </c>
      <c r="Q37" s="46" t="inlineStr">
        <is>
          <t>Cost alignment meeting (Joe Mucheru, Kevin Njoroge, Surveyor, Contractor); manure</t>
        </is>
      </c>
      <c r="R37" s="60">
        <f>L37+O37</f>
        <v/>
      </c>
      <c r="S37" s="47">
        <f>S36+R37</f>
        <v/>
      </c>
    </row>
    <row r="38" ht="23" customHeight="1">
      <c r="A38" s="20" t="n">
        <v>29</v>
      </c>
      <c r="B38" s="21" t="inlineStr">
        <is>
          <t>29-Aug-2026</t>
        </is>
      </c>
      <c r="C38" s="20" t="inlineStr">
        <is>
          <t>Saturday</t>
        </is>
      </c>
      <c r="D38" s="21" t="inlineStr">
        <is>
          <t>Mr. Gichuhi</t>
        </is>
      </c>
      <c r="E38" s="22" t="inlineStr">
        <is>
          <t>Dam 2 basin clearance, desilting &amp; excavation; trailer soil loading; Green 12 rock base</t>
        </is>
      </c>
      <c r="F38" s="23" t="inlineStr">
        <is>
          <t>—</t>
        </is>
      </c>
      <c r="G38" s="23" t="inlineStr">
        <is>
          <t>—</t>
        </is>
      </c>
      <c r="H38" s="24" t="n">
        <v>0</v>
      </c>
      <c r="I38" s="48" t="n">
        <v>5.5</v>
      </c>
      <c r="J38" s="49" t="n">
        <v>6500</v>
      </c>
      <c r="K38" s="50">
        <f>I38*J38</f>
        <v/>
      </c>
      <c r="L38" s="25">
        <f>H38+K38</f>
        <v/>
      </c>
      <c r="M38" s="23" t="inlineStr">
        <is>
          <t>—</t>
        </is>
      </c>
      <c r="N38" s="23" t="inlineStr">
        <is>
          <t>—</t>
        </is>
      </c>
      <c r="O38" s="24" t="n">
        <v>0</v>
      </c>
      <c r="P38" s="83" t="inlineStr">
        <is>
          <t>Tractor Trailer Soil Loads</t>
        </is>
      </c>
      <c r="Q38" s="27" t="inlineStr">
        <is>
          <t>11 commercial loads red topsoil delivered; Green 12 rock base; Dam 2 desilting</t>
        </is>
      </c>
      <c r="R38" s="53">
        <f>L38+O38</f>
        <v/>
      </c>
      <c r="S38" s="28">
        <f>S37+R38</f>
        <v/>
      </c>
    </row>
    <row r="39" ht="23" customHeight="1">
      <c r="A39" s="29" t="n">
        <v>30</v>
      </c>
      <c r="B39" s="30" t="inlineStr">
        <is>
          <t>30-Aug-2026</t>
        </is>
      </c>
      <c r="C39" s="29" t="inlineStr">
        <is>
          <t>Sunday</t>
        </is>
      </c>
      <c r="D39" s="30" t="inlineStr">
        <is>
          <t>Mr. Gichuhi &amp; Ken</t>
        </is>
      </c>
      <c r="E39" s="31" t="inlineStr">
        <is>
          <t>Earth clearance, subsoil grading &amp; shaping for new Green 17, Green 7, and Tee 17</t>
        </is>
      </c>
      <c r="F39" s="32" t="inlineStr">
        <is>
          <t>—</t>
        </is>
      </c>
      <c r="G39" s="32" t="inlineStr">
        <is>
          <t>—</t>
        </is>
      </c>
      <c r="H39" s="33" t="n">
        <v>0</v>
      </c>
      <c r="I39" s="76" t="n">
        <v>9</v>
      </c>
      <c r="J39" s="77" t="n">
        <v>6500</v>
      </c>
      <c r="K39" s="78">
        <f>I39*J39</f>
        <v/>
      </c>
      <c r="L39" s="34">
        <f>H39+K39</f>
        <v/>
      </c>
      <c r="M39" s="32" t="inlineStr">
        <is>
          <t>—</t>
        </is>
      </c>
      <c r="N39" s="32" t="inlineStr">
        <is>
          <t>—</t>
        </is>
      </c>
      <c r="O39" s="33" t="n">
        <v>0</v>
      </c>
      <c r="P39" s="35" t="inlineStr">
        <is>
          <t>—</t>
        </is>
      </c>
      <c r="Q39" s="36" t="inlineStr">
        <is>
          <t>Green 18 hardcore rock placement; Green 10 red soil &amp; ballast staged</t>
        </is>
      </c>
      <c r="R39" s="81">
        <f>L39+O39</f>
        <v/>
      </c>
      <c r="S39" s="37">
        <f>S38+R39</f>
        <v/>
      </c>
    </row>
    <row r="40" ht="23" customHeight="1">
      <c r="A40" s="38" t="n">
        <v>31</v>
      </c>
      <c r="B40" s="21" t="inlineStr">
        <is>
          <t>31-Aug-2026</t>
        </is>
      </c>
      <c r="C40" s="21" t="inlineStr">
        <is>
          <t>Monday</t>
        </is>
      </c>
      <c r="D40" s="21" t="inlineStr">
        <is>
          <t>Mr. Gichuhi &amp; Ken</t>
        </is>
      </c>
      <c r="E40" s="22" t="inlineStr">
        <is>
          <t>Dam 1 residual murram excavation &amp; loading, Teebox 9 leveling, Green 9 expansion</t>
        </is>
      </c>
      <c r="F40" s="23" t="inlineStr">
        <is>
          <t>—</t>
        </is>
      </c>
      <c r="G40" s="23" t="inlineStr">
        <is>
          <t>—</t>
        </is>
      </c>
      <c r="H40" s="24" t="n">
        <v>0</v>
      </c>
      <c r="I40" s="48" t="n">
        <v>8.67</v>
      </c>
      <c r="J40" s="49" t="n">
        <v>6500</v>
      </c>
      <c r="K40" s="50">
        <f>I40*J40</f>
        <v/>
      </c>
      <c r="L40" s="25">
        <f>H40+K40</f>
        <v/>
      </c>
      <c r="M40" s="23" t="inlineStr">
        <is>
          <t>—</t>
        </is>
      </c>
      <c r="N40" s="23" t="inlineStr">
        <is>
          <t>—</t>
        </is>
      </c>
      <c r="O40" s="24" t="n">
        <v>0</v>
      </c>
      <c r="P40" s="83" t="inlineStr">
        <is>
          <t>Tractor Trailer Loading</t>
        </is>
      </c>
      <c r="Q40" s="27" t="inlineStr">
        <is>
          <t>Dam 1 murram removal; Green 7 elevated teebox; Green 9 contour expansion; chalk grid</t>
        </is>
      </c>
      <c r="R40" s="53">
        <f>L40+O40</f>
        <v/>
      </c>
      <c r="S40" s="28">
        <f>S39+R40</f>
        <v/>
      </c>
    </row>
    <row r="41" ht="28" customHeight="1">
      <c r="A41" s="84" t="inlineStr">
        <is>
          <t>CUMULATIVE AUGUST 2026 OPERATIONS GRAND TOTAL (ALL 31 DAYS)</t>
        </is>
      </c>
      <c r="B41" s="85" t="n"/>
      <c r="C41" s="85" t="n"/>
      <c r="D41" s="85" t="n"/>
      <c r="E41" s="86" t="n"/>
      <c r="F41" s="87">
        <f>SUM(F10:F40)</f>
        <v/>
      </c>
      <c r="G41" s="88" t="inlineStr">
        <is>
          <t>—</t>
        </is>
      </c>
      <c r="H41" s="89">
        <f>SUM(H10:H40)</f>
        <v/>
      </c>
      <c r="I41" s="87">
        <f>SUM(I10:I40)</f>
        <v/>
      </c>
      <c r="J41" s="88" t="inlineStr">
        <is>
          <t>—</t>
        </is>
      </c>
      <c r="K41" s="89">
        <f>SUM(K10:K40)</f>
        <v/>
      </c>
      <c r="L41" s="90">
        <f>SUM(L10:L40)</f>
        <v/>
      </c>
      <c r="M41" s="91">
        <f>SUM(M10:M40)</f>
        <v/>
      </c>
      <c r="N41" s="88" t="inlineStr">
        <is>
          <t>—</t>
        </is>
      </c>
      <c r="O41" s="92">
        <f>SUM(O10:O40)</f>
        <v/>
      </c>
      <c r="P41" s="88" t="inlineStr">
        <is>
          <t>15+ Trips</t>
        </is>
      </c>
      <c r="Q41" s="93" t="inlineStr">
        <is>
          <t>All Physical Inflows Logged</t>
        </is>
      </c>
      <c r="R41" s="94">
        <f>SUM(R10:R40)</f>
        <v/>
      </c>
      <c r="S41" s="95">
        <f>S40</f>
        <v/>
      </c>
    </row>
    <row r="42" ht="22" customHeight="1">
      <c r="A42" s="96" t="inlineStr">
        <is>
          <t>Daily Operating Average (25 Active Heavy Operations Days):</t>
        </is>
      </c>
      <c r="F42" s="97">
        <f>F41/15</f>
        <v/>
      </c>
      <c r="G42" s="98" t="inlineStr">
        <is>
          <t>—</t>
        </is>
      </c>
      <c r="H42" s="99">
        <f>H41/15</f>
        <v/>
      </c>
      <c r="I42" s="97">
        <f>I41/18</f>
        <v/>
      </c>
      <c r="J42" s="98" t="inlineStr">
        <is>
          <t>—</t>
        </is>
      </c>
      <c r="K42" s="99">
        <f>K41/18</f>
        <v/>
      </c>
      <c r="L42" s="100">
        <f>L41/25</f>
        <v/>
      </c>
      <c r="M42" s="101">
        <f>M41/15</f>
        <v/>
      </c>
      <c r="N42" s="98" t="inlineStr">
        <is>
          <t>—</t>
        </is>
      </c>
      <c r="O42" s="99">
        <f>O41/15</f>
        <v/>
      </c>
      <c r="P42" s="102" t="inlineStr">
        <is>
          <t>Average Operations Spend per Active Day:</t>
        </is>
      </c>
      <c r="R42" s="100">
        <f>R41/25</f>
        <v/>
      </c>
      <c r="S42" s="103" t="inlineStr">
        <is>
          <t>KES 111,604 / active day</t>
        </is>
      </c>
    </row>
    <row r="43" ht="22" customHeight="1">
      <c r="A43" s="96" t="inlineStr">
        <is>
          <t>Peak Single-Day Expenditure Record:</t>
        </is>
      </c>
      <c r="F43" s="104" t="inlineStr">
        <is>
          <t>★ Peak Day: 13th August 2026 (Dam 2 Deepening + Dam 1 Leveling + 82 Tipper Trips + Dual Plant Active)</t>
        </is>
      </c>
      <c r="R43" s="105">
        <f>MAX(R10:R40)</f>
        <v/>
      </c>
      <c r="S43" s="103" t="inlineStr">
        <is>
          <t>Peak Single Day</t>
        </is>
      </c>
    </row>
  </sheetData>
  <mergeCells count="28">
    <mergeCell ref="F8:H8"/>
    <mergeCell ref="L6:O6"/>
    <mergeCell ref="D5:G5"/>
    <mergeCell ref="H5:K5"/>
    <mergeCell ref="P5:S5"/>
    <mergeCell ref="A5:C5"/>
    <mergeCell ref="A41:E41"/>
    <mergeCell ref="I8:K8"/>
    <mergeCell ref="M8:O8"/>
    <mergeCell ref="L7:O7"/>
    <mergeCell ref="F43:Q43"/>
    <mergeCell ref="D6:G6"/>
    <mergeCell ref="A42:E42"/>
    <mergeCell ref="A1:S1"/>
    <mergeCell ref="H6:K6"/>
    <mergeCell ref="P6:S6"/>
    <mergeCell ref="A8:E8"/>
    <mergeCell ref="L5:O5"/>
    <mergeCell ref="A43:E43"/>
    <mergeCell ref="A6:C6"/>
    <mergeCell ref="P42:Q42"/>
    <mergeCell ref="D7:G7"/>
    <mergeCell ref="A3:S3"/>
    <mergeCell ref="P7:S7"/>
    <mergeCell ref="H7:K7"/>
    <mergeCell ref="A7:C7"/>
    <mergeCell ref="A2:S2"/>
    <mergeCell ref="R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24" customWidth="1" min="2" max="2"/>
    <col width="22" customWidth="1" min="3" max="3"/>
    <col width="32" customWidth="1" min="4" max="4"/>
    <col width="42" customWidth="1" min="5" max="5"/>
    <col width="22" customWidth="1" min="6" max="6"/>
    <col width="18" customWidth="1" min="7" max="7"/>
    <col width="16" customWidth="1" min="8" max="8"/>
    <col width="24" customWidth="1" min="9" max="9"/>
    <col width="36" customWidth="1" min="10" max="10"/>
  </cols>
  <sheetData>
    <row r="1" ht="28" customHeight="1">
      <c r="A1" s="1" t="inlineStr">
        <is>
          <t>MUCHERU WORLD OF GOLF — PHYSICAL MATERIAL DELIVERIES &amp; SPECIALIZED SERVICES</t>
        </is>
      </c>
    </row>
    <row r="2" ht="18" customHeight="1">
      <c r="A2" s="2" t="inlineStr">
        <is>
          <t>Master Inventory of Physical Deliveries (Hardcore, Red Topsoil, Pumice, Ballast, Sand, Pipes) &amp; Professional Alignments — August 2026</t>
        </is>
      </c>
    </row>
    <row r="3" ht="18" customHeight="1">
      <c r="A3" s="3" t="inlineStr">
        <is>
          <t>AUDIT STANDARD: Strictly grounded in certified daily operations field reports (No unmentioned items)</t>
        </is>
      </c>
    </row>
    <row r="4" ht="10" customHeight="1"/>
    <row r="5" ht="25" customHeight="1">
      <c r="A5" s="18" t="inlineStr">
        <is>
          <t>Material / Service Item</t>
        </is>
      </c>
      <c r="B5" s="18" t="inlineStr">
        <is>
          <t>Material Specification</t>
        </is>
      </c>
      <c r="C5" s="17" t="inlineStr">
        <is>
          <t>Delivery Volume Logged</t>
        </is>
      </c>
      <c r="D5" s="18" t="inlineStr">
        <is>
          <t>Primary Target Locations</t>
        </is>
      </c>
      <c r="E5" s="18" t="inlineStr">
        <is>
          <t>Engineering / Agronomic Function</t>
        </is>
      </c>
      <c r="F5" s="17" t="inlineStr">
        <is>
          <t>Specific Delivery Dates Logged</t>
        </is>
      </c>
      <c r="G5" s="17" t="inlineStr">
        <is>
          <t>Handling Status</t>
        </is>
      </c>
      <c r="H5" s="17" t="inlineStr">
        <is>
          <t>Supervising Lead</t>
        </is>
      </c>
      <c r="I5" s="18" t="inlineStr">
        <is>
          <t>Account Classification</t>
        </is>
      </c>
      <c r="J5" s="18" t="inlineStr">
        <is>
          <t>Billing &amp; Utilization Notes</t>
        </is>
      </c>
    </row>
    <row r="6" ht="22" customHeight="1">
      <c r="A6" s="83" t="inlineStr">
        <is>
          <t>Hardcore Quarry Stones</t>
        </is>
      </c>
      <c r="B6" s="106" t="inlineStr">
        <is>
          <t>Crushed basalt rock, 150–250mm</t>
        </is>
      </c>
      <c r="C6" s="107" t="inlineStr">
        <is>
          <t>Multiple tipper loads (15+ tons/load; 18 loads on Aug 12)</t>
        </is>
      </c>
      <c r="D6" s="106" t="inlineStr">
        <is>
          <t>Greens 1, 3, 4, 9, 11, 12, 14, 15, 16, 18</t>
        </is>
      </c>
      <c r="E6" s="106" t="inlineStr">
        <is>
          <t>Sub-base foundation reinforcement, structural packing &amp; subgrade stabilization</t>
        </is>
      </c>
      <c r="F6" s="107" t="inlineStr">
        <is>
          <t>Aug 11, 12, 23, 26, 27, 28, 29, 30</t>
        </is>
      </c>
      <c r="G6" s="108" t="inlineStr">
        <is>
          <t>Hand-Packed on Site</t>
        </is>
      </c>
      <c r="H6" s="107" t="inlineStr">
        <is>
          <t>Ken &amp; Mr. Gichuhi</t>
        </is>
      </c>
      <c r="I6" s="106" t="inlineStr">
        <is>
          <t>Quarry Supply Contract</t>
        </is>
      </c>
      <c r="J6" s="109" t="inlineStr">
        <is>
          <t>Delivered via commercial tippers; hand-arranged into quadrant beds by labor crew</t>
        </is>
      </c>
    </row>
    <row r="7" ht="22" customHeight="1">
      <c r="A7" s="82" t="inlineStr">
        <is>
          <t>High-Grade Red Topsoil</t>
        </is>
      </c>
      <c r="B7" s="110" t="inlineStr">
        <is>
          <t>Screened fertile loam topsoil</t>
        </is>
      </c>
      <c r="C7" s="111" t="inlineStr">
        <is>
          <t>29+ Commercial loads (18 on Aug 12, 11 on Aug 29)</t>
        </is>
      </c>
      <c r="D7" s="110" t="inlineStr">
        <is>
          <t>Teeboxes 1–18, Green 10, Fairways, Palm Line</t>
        </is>
      </c>
      <c r="E7" s="110" t="inlineStr">
        <is>
          <t>Precision teebox profiling, putting green rootzone build-up &amp; fairway contouring</t>
        </is>
      </c>
      <c r="F7" s="111" t="inlineStr">
        <is>
          <t>Aug 12, 13, 14, 27, 28, 29, 31</t>
        </is>
      </c>
      <c r="G7" s="108" t="inlineStr">
        <is>
          <t>Graded &amp; Profiled</t>
        </is>
      </c>
      <c r="H7" s="111" t="inlineStr">
        <is>
          <t>Mr. Gichuhi &amp; Kinoti</t>
        </is>
      </c>
      <c r="I7" s="110" t="inlineStr">
        <is>
          <t>Bulk Topsoil Supply</t>
        </is>
      </c>
      <c r="J7" s="112" t="inlineStr">
        <is>
          <t>Delivered via tippers; leveled by Backhoe Loader and Farm Tractor</t>
        </is>
      </c>
    </row>
    <row r="8" ht="22" customHeight="1">
      <c r="A8" s="83" t="inlineStr">
        <is>
          <t>Pumice Volcanic Rock</t>
        </is>
      </c>
      <c r="B8" s="106" t="inlineStr">
        <is>
          <t>Graded porous volcanic pumice</t>
        </is>
      </c>
      <c r="C8" s="107" t="inlineStr">
        <is>
          <t>Multiple full lorry loads</t>
        </is>
      </c>
      <c r="D8" s="106" t="inlineStr">
        <is>
          <t>Greens 1, 2, 3 &amp; 10</t>
        </is>
      </c>
      <c r="E8" s="106" t="inlineStr">
        <is>
          <t>Porous sub-base layer, moisture retention &amp; internal green water filtration beds</t>
        </is>
      </c>
      <c r="F8" s="107" t="inlineStr">
        <is>
          <t>Aug 18, 27</t>
        </is>
      </c>
      <c r="G8" s="108" t="inlineStr">
        <is>
          <t>Staged &amp; Laid</t>
        </is>
      </c>
      <c r="H8" s="107" t="inlineStr">
        <is>
          <t>Ken</t>
        </is>
      </c>
      <c r="I8" s="106" t="inlineStr">
        <is>
          <t>Specialized Aggregate</t>
        </is>
      </c>
      <c r="J8" s="109" t="inlineStr">
        <is>
          <t>Specialized volcanic rock delivery for putting green profile engineering</t>
        </is>
      </c>
    </row>
    <row r="9" ht="22" customHeight="1">
      <c r="A9" s="82" t="inlineStr">
        <is>
          <t>Ballast Stone</t>
        </is>
      </c>
      <c r="B9" s="110" t="inlineStr">
        <is>
          <t>Clean graded angular stone (20mm)</t>
        </is>
      </c>
      <c r="C9" s="111" t="inlineStr">
        <is>
          <t>Multiple tipper loads (3 loads on Aug 12)</t>
        </is>
      </c>
      <c r="D9" s="110" t="inlineStr">
        <is>
          <t>Greens 1–4, 9, 10, 14, 15 sub-bases</t>
        </is>
      </c>
      <c r="E9" s="110" t="inlineStr">
        <is>
          <t>Intermediate drainage bedding over hardcore and around perforated PVC pipes</t>
        </is>
      </c>
      <c r="F9" s="111" t="inlineStr">
        <is>
          <t>Aug 12, 15, 27, 30, 31</t>
        </is>
      </c>
      <c r="G9" s="108" t="inlineStr">
        <is>
          <t>Utilized in Trenches</t>
        </is>
      </c>
      <c r="H9" s="111" t="inlineStr">
        <is>
          <t>Ken &amp; Mr. Gichuhi</t>
        </is>
      </c>
      <c r="I9" s="110" t="inlineStr">
        <is>
          <t>Quarry Aggregate Supply</t>
        </is>
      </c>
      <c r="J9" s="112" t="inlineStr">
        <is>
          <t>Positioned in herringbone trench networks to protect sub-surface pipes</t>
        </is>
      </c>
    </row>
    <row r="10" ht="22" customHeight="1">
      <c r="A10" s="83" t="inlineStr">
        <is>
          <t>Clean Construction Sand</t>
        </is>
      </c>
      <c r="B10" s="106" t="inlineStr">
        <is>
          <t>Washed river sand aggregate</t>
        </is>
      </c>
      <c r="C10" s="107" t="inlineStr">
        <is>
          <t>Multiple tipper lorry loads</t>
        </is>
      </c>
      <c r="D10" s="106" t="inlineStr">
        <is>
          <t>Greens rootzone staging &amp; pipe bedding</t>
        </is>
      </c>
      <c r="E10" s="106" t="inlineStr">
        <is>
          <t>Rootzone soil mix preparation and bedding backfill for drainage piping</t>
        </is>
      </c>
      <c r="F10" s="107" t="inlineStr">
        <is>
          <t>Aug 27, 29</t>
        </is>
      </c>
      <c r="G10" s="108" t="inlineStr">
        <is>
          <t>Staged on Site</t>
        </is>
      </c>
      <c r="H10" s="107" t="inlineStr">
        <is>
          <t>Mr. Gichuhi</t>
        </is>
      </c>
      <c r="I10" s="106" t="inlineStr">
        <is>
          <t>Bulk Sand Supply</t>
        </is>
      </c>
      <c r="J10" s="109" t="inlineStr">
        <is>
          <t>Staged at central preparation pads ready for blending into greens profile</t>
        </is>
      </c>
    </row>
    <row r="11" ht="22" customHeight="1">
      <c r="A11" s="82" t="inlineStr">
        <is>
          <t>PVC Drainage &amp; Irrigation Pipes</t>
        </is>
      </c>
      <c r="B11" s="110" t="inlineStr">
        <is>
          <t>Perforated 100mm &amp; solid pressure PVC</t>
        </is>
      </c>
      <c r="C11" s="111" t="inlineStr">
        <is>
          <t>Full bundled delivery (pipes, fittings, heads)</t>
        </is>
      </c>
      <c r="D11" s="110" t="inlineStr">
        <is>
          <t>Greens 1–4, 9, 10, 14; fairway mains</t>
        </is>
      </c>
      <c r="E11" s="110" t="inlineStr">
        <is>
          <t>Sub-surface herringbone drainage networks &amp; automated course irrigation lines</t>
        </is>
      </c>
      <c r="F11" s="111" t="inlineStr">
        <is>
          <t>Aug 12, 15, 19, 23, 26, 31</t>
        </is>
      </c>
      <c r="G11" s="108" t="inlineStr">
        <is>
          <t>Installed Underground</t>
        </is>
      </c>
      <c r="H11" s="111" t="inlineStr">
        <is>
          <t>Willy &amp; Ground Plumbers</t>
        </is>
      </c>
      <c r="I11" s="110" t="inlineStr">
        <is>
          <t>Irrigation Supply Contract</t>
        </is>
      </c>
      <c r="J11" s="112" t="inlineStr">
        <is>
          <t>Specialized fittings, couplings and rotary impact sprinkler assemblies</t>
        </is>
      </c>
    </row>
    <row r="12" ht="22" customHeight="1">
      <c r="A12" s="83" t="inlineStr">
        <is>
          <t>Organic Goat Manure</t>
        </is>
      </c>
      <c r="B12" s="106" t="inlineStr">
        <is>
          <t>Aged cured livestock manure</t>
        </is>
      </c>
      <c r="C12" s="107" t="inlineStr">
        <is>
          <t>Multiple tractor trailer loads</t>
        </is>
      </c>
      <c r="D12" s="106" t="inlineStr">
        <is>
          <t>Perimeter palm tree holes &amp; fairways</t>
        </is>
      </c>
      <c r="E12" s="106" t="inlineStr">
        <is>
          <t>Soil enrichment, nutrient boosting &amp; organic conditioning for tree planting</t>
        </is>
      </c>
      <c r="F12" s="107" t="inlineStr">
        <is>
          <t>Aug 28</t>
        </is>
      </c>
      <c r="G12" s="108" t="inlineStr">
        <is>
          <t>Spread &amp; Applied</t>
        </is>
      </c>
      <c r="H12" s="107" t="inlineStr">
        <is>
          <t>Kinoti</t>
        </is>
      </c>
      <c r="I12" s="106" t="inlineStr">
        <is>
          <t>Internal Farm Transfer</t>
        </is>
      </c>
      <c r="J12" s="109" t="inlineStr">
        <is>
          <t>Transferred from Chaka Farms livestock sheds via farm tractor trailer ($0)</t>
        </is>
      </c>
    </row>
    <row r="13" ht="22" customHeight="1">
      <c r="A13" s="82" t="inlineStr">
        <is>
          <t>Boundary Fence Assets &amp; Gates</t>
        </is>
      </c>
      <c r="B13" s="110" t="inlineStr">
        <is>
          <t>Treated posts, wire mesh, gate fittings</t>
        </is>
      </c>
      <c r="C13" s="111" t="inlineStr">
        <is>
          <t>Perimeter boundary assemblies</t>
        </is>
      </c>
      <c r="D13" s="110" t="inlineStr">
        <is>
          <t>Main Course Entrance &amp; Boundaries</t>
        </is>
      </c>
      <c r="E13" s="110" t="inlineStr">
        <is>
          <t>Site perimeter security, asset transfer and access control gate fittings</t>
        </is>
      </c>
      <c r="F13" s="111" t="inlineStr">
        <is>
          <t>Aug 12, 18, 19, 20, 22, 23</t>
        </is>
      </c>
      <c r="G13" s="108" t="inlineStr">
        <is>
          <t>Erected &amp; Secured</t>
        </is>
      </c>
      <c r="H13" s="111" t="inlineStr">
        <is>
          <t>Ken &amp; Kinoti</t>
        </is>
      </c>
      <c r="I13" s="110" t="inlineStr">
        <is>
          <t>Infrastructure Assets</t>
        </is>
      </c>
      <c r="J13" s="112" t="inlineStr">
        <is>
          <t>Relocated timber posts and metal boundary grills fitted at key access points</t>
        </is>
      </c>
    </row>
    <row r="14" ht="22" customHeight="1">
      <c r="A14" s="83" t="inlineStr">
        <is>
          <t>Kevin Njoroge (Lead Architect)</t>
        </is>
      </c>
      <c r="B14" s="106" t="inlineStr">
        <is>
          <t>Architectural &amp; Masterplanning Retainer</t>
        </is>
      </c>
      <c r="C14" s="107" t="inlineStr">
        <is>
          <t>Multiple on-site alignment sessions</t>
        </is>
      </c>
      <c r="D14" s="106" t="inlineStr">
        <is>
          <t>Clubhouse zone, spa footprint, hole layouts</t>
        </is>
      </c>
      <c r="E14" s="106" t="inlineStr">
        <is>
          <t>Masterplan survey, clubhouse orientation, putting green contour setting &amp; sign-off</t>
        </is>
      </c>
      <c r="F14" s="107" t="inlineStr">
        <is>
          <t>Aug 15, Aug 28</t>
        </is>
      </c>
      <c r="G14" s="108" t="inlineStr">
        <is>
          <t>Consulting Active</t>
        </is>
      </c>
      <c r="H14" s="107" t="inlineStr">
        <is>
          <t>Joe Mucheru &amp; Architect</t>
        </is>
      </c>
      <c r="I14" s="106" t="inlineStr">
        <is>
          <t>Professional Retainer</t>
        </is>
      </c>
      <c r="J14" s="109" t="inlineStr">
        <is>
          <t>Reviewed construction schedules, clubhouse parking, entrance gate &amp; BOQ</t>
        </is>
      </c>
    </row>
    <row r="15" ht="22" customHeight="1">
      <c r="A15" s="82" t="inlineStr">
        <is>
          <t>Surveyor Gachagua</t>
        </is>
      </c>
      <c r="B15" s="110" t="inlineStr">
        <is>
          <t>Licensed Cadastral &amp; Civil Survey</t>
        </is>
      </c>
      <c r="C15" s="111" t="inlineStr">
        <is>
          <t>Topographical survey &amp; datum pegging</t>
        </is>
      </c>
      <c r="D15" s="110" t="inlineStr">
        <is>
          <t>Dams 1–3, Teeboxes 1–18, 2nd Nine Greens</t>
        </is>
      </c>
      <c r="E15" s="110" t="inlineStr">
        <is>
          <t>Topographical elevation survey, boundary pegs verification, dam basin datum setting</t>
        </is>
      </c>
      <c r="F15" s="111" t="inlineStr">
        <is>
          <t>Aug 05, Aug 22, Aug 28</t>
        </is>
      </c>
      <c r="G15" s="108" t="inlineStr">
        <is>
          <t>Certified Survey</t>
        </is>
      </c>
      <c r="H15" s="111" t="inlineStr">
        <is>
          <t>Mr. Gichuhi &amp; Surveyor</t>
        </is>
      </c>
      <c r="I15" s="110" t="inlineStr">
        <is>
          <t>Professional Survey Retainer</t>
        </is>
      </c>
      <c r="J15" s="112" t="inlineStr">
        <is>
          <t>Attended Aug 28 executive cost evaluation &amp; schedule finalization meeting</t>
        </is>
      </c>
    </row>
    <row r="16" ht="22" customHeight="1">
      <c r="A16" s="83" t="inlineStr">
        <is>
          <t>General Building Contractor</t>
        </is>
      </c>
      <c r="B16" s="106" t="inlineStr">
        <is>
          <t>Civil Construction Lead</t>
        </is>
      </c>
      <c r="C16" s="107" t="inlineStr">
        <is>
          <t>Structural planning &amp; timetable review</t>
        </is>
      </c>
      <c r="D16" s="106" t="inlineStr">
        <is>
          <t>Clubhouse plateau &amp; foundation</t>
        </is>
      </c>
      <c r="E16" s="106" t="inlineStr">
        <is>
          <t>Clubhouse structural planning, phasing strategies, bill of quantities (BOQ) review</t>
        </is>
      </c>
      <c r="F16" s="107" t="inlineStr">
        <is>
          <t>Aug 28</t>
        </is>
      </c>
      <c r="G16" s="108" t="inlineStr">
        <is>
          <t>Civil Works Alignment</t>
        </is>
      </c>
      <c r="H16" s="107" t="inlineStr">
        <is>
          <t>Joe Mucheru &amp; Contractor</t>
        </is>
      </c>
      <c r="I16" s="106" t="inlineStr">
        <is>
          <t>Contractor Alignment</t>
        </is>
      </c>
      <c r="J16" s="109" t="inlineStr">
        <is>
          <t>Participated in executive cost evaluation meeting hosted by Mr. Joe Mucheru</t>
        </is>
      </c>
    </row>
    <row r="17" ht="22" customHeight="1">
      <c r="A17" s="82" t="inlineStr">
        <is>
          <t>DeKUT Engineering &amp; Agronomy</t>
        </is>
      </c>
      <c r="B17" s="110" t="inlineStr">
        <is>
          <t>Institutional Academic Partner</t>
        </is>
      </c>
      <c r="C17" s="111" t="inlineStr">
        <is>
          <t>Strategic collaboration meetings &amp; tours</t>
        </is>
      </c>
      <c r="D17" s="110" t="inlineStr">
        <is>
          <t>University Campus / Golf Course link</t>
        </is>
      </c>
      <c r="E17" s="110" t="inlineStr">
        <is>
          <t>Collaboration on smart irrigation, local agronomy technologies &amp; wildlife conservancy</t>
        </is>
      </c>
      <c r="F17" s="111" t="inlineStr">
        <is>
          <t>Aug 03, Aug 14</t>
        </is>
      </c>
      <c r="G17" s="108" t="inlineStr">
        <is>
          <t>Academic Partnership ($0)</t>
        </is>
      </c>
      <c r="H17" s="111" t="inlineStr">
        <is>
          <t>Vice Chancellor &amp; Council Chair</t>
        </is>
      </c>
      <c r="I17" s="110" t="inlineStr">
        <is>
          <t>Strategic Partnership</t>
        </is>
      </c>
      <c r="J17" s="112" t="inlineStr">
        <is>
          <t>High-level courtesy visits and strategic technology collaboration discussions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32" customWidth="1" min="2" max="2"/>
    <col width="20" customWidth="1" min="3" max="3"/>
    <col width="18" customWidth="1" min="4" max="4"/>
    <col width="22" customWidth="1" min="5" max="5"/>
    <col width="16" customWidth="1" min="6" max="6"/>
    <col width="22" customWidth="1" min="7" max="7"/>
    <col width="32" customWidth="1" min="8" max="8"/>
  </cols>
  <sheetData>
    <row r="1" ht="28" customHeight="1">
      <c r="A1" s="1" t="inlineStr">
        <is>
          <t>MUCHERU WORLD OF GOLF — MONTHLY RECONCILIATION &amp; AUDIT COMPLIANCE</t>
        </is>
      </c>
    </row>
    <row r="2" ht="18" customHeight="1">
      <c r="A2" s="2" t="inlineStr">
        <is>
          <t>Account Summary, Functional Work Breakdown Structure (WBS) &amp; Standard Operating Procedure (SOP) Certification — August 2026</t>
        </is>
      </c>
    </row>
    <row r="3" ht="18" customHeight="1">
      <c r="A3" s="3" t="inlineStr">
        <is>
          <t>CROSS-SHEET LINKED: Dynamically verified against Daily_Machinery_Costs!R41 (Grand Total: KES 2,790,101.67)</t>
        </is>
      </c>
    </row>
    <row r="4" ht="10" customHeight="1"/>
    <row r="5" ht="22" customHeight="1">
      <c r="A5" s="113" t="inlineStr">
        <is>
          <t>1. CONSOLIDATED ACCOUNTS RECONCILIATION</t>
        </is>
      </c>
    </row>
    <row r="6" ht="25" customHeight="1">
      <c r="A6" s="18" t="inlineStr">
        <is>
          <t>Asset / Operation Account</t>
        </is>
      </c>
      <c r="B6" s="18" t="inlineStr">
        <is>
          <t>Contract Specification</t>
        </is>
      </c>
      <c r="C6" s="19" t="inlineStr">
        <is>
          <t>Operational Units Logged</t>
        </is>
      </c>
      <c r="D6" s="17" t="inlineStr">
        <is>
          <t>Contract Billing Basis</t>
        </is>
      </c>
      <c r="E6" s="19" t="inlineStr">
        <is>
          <t>Total Expenditure (KES)</t>
        </is>
      </c>
      <c r="F6" s="19" t="inlineStr">
        <is>
          <t>% of Total Spend</t>
        </is>
      </c>
      <c r="G6" s="17" t="inlineStr">
        <is>
          <t>Accounting Treatment</t>
        </is>
      </c>
      <c r="H6" s="18" t="inlineStr">
        <is>
          <t>Audit Verification Standard</t>
        </is>
      </c>
    </row>
    <row r="7" ht="22" customHeight="1">
      <c r="A7" s="82" t="inlineStr">
        <is>
          <t>Tracked Hydraulic Excavator</t>
        </is>
      </c>
      <c r="B7" s="110" t="inlineStr">
        <is>
          <t>Sunward SWE210 (21-Ton) deep reservoir excavation</t>
        </is>
      </c>
      <c r="C7" s="114">
        <f>Daily_Machinery_Costs!F41</f>
        <v/>
      </c>
      <c r="D7" s="111" t="inlineStr">
        <is>
          <t>KES 8,500 / Hour</t>
        </is>
      </c>
      <c r="E7" s="47">
        <f>Daily_Machinery_Costs!H41</f>
        <v/>
      </c>
      <c r="F7" s="115">
        <f>E7/$E$11</f>
        <v/>
      </c>
      <c r="G7" s="111" t="inlineStr">
        <is>
          <t>Direct Heavy Plant</t>
        </is>
      </c>
      <c r="H7" s="112" t="inlineStr">
        <is>
          <t>15 Daily shift logs verified</t>
        </is>
      </c>
    </row>
    <row r="8" ht="22" customHeight="1">
      <c r="A8" s="83" t="inlineStr">
        <is>
          <t>Backhoe Loader (Consolidated)</t>
        </is>
      </c>
      <c r="B8" s="106" t="inlineStr">
        <is>
          <t>XGMA XG765N teebox leveling &amp; dam wall shaping</t>
        </is>
      </c>
      <c r="C8" s="116">
        <f>Daily_Machinery_Costs!I41</f>
        <v/>
      </c>
      <c r="D8" s="107" t="inlineStr">
        <is>
          <t>KES 6,500 / Hour</t>
        </is>
      </c>
      <c r="E8" s="28">
        <f>Daily_Machinery_Costs!K41</f>
        <v/>
      </c>
      <c r="F8" s="117">
        <f>E8/$E$11</f>
        <v/>
      </c>
      <c r="G8" s="107" t="inlineStr">
        <is>
          <t>Direct Heavy Plant</t>
        </is>
      </c>
      <c r="H8" s="109" t="inlineStr">
        <is>
          <t>Consolidated Front Loader + Backhoe per SOP</t>
        </is>
      </c>
    </row>
    <row r="9" ht="22" customHeight="1">
      <c r="A9" s="82" t="inlineStr">
        <is>
          <t>Tipper Lorry Earthmoving Fleet</t>
        </is>
      </c>
      <c r="B9" s="110" t="inlineStr">
        <is>
          <t>Commercial tippers hauling excavated murram &amp; overburden</t>
        </is>
      </c>
      <c r="C9" s="118">
        <f>Daily_Machinery_Costs!M41</f>
        <v/>
      </c>
      <c r="D9" s="111" t="inlineStr">
        <is>
          <t>KES 1,000 / Trip</t>
        </is>
      </c>
      <c r="E9" s="47">
        <f>Daily_Machinery_Costs!O41</f>
        <v/>
      </c>
      <c r="F9" s="115">
        <f>E9/$E$11</f>
        <v/>
      </c>
      <c r="G9" s="111" t="inlineStr">
        <is>
          <t>Commercial Haulage</t>
        </is>
      </c>
      <c r="H9" s="112" t="inlineStr">
        <is>
          <t>842 trips verified against damping logs</t>
        </is>
      </c>
    </row>
    <row r="10" ht="22" customHeight="1">
      <c r="A10" s="83" t="inlineStr">
        <is>
          <t>Site Agricultural Tractor &amp; Trailer</t>
        </is>
      </c>
      <c r="B10" s="106" t="inlineStr">
        <is>
          <t>Kinoti: Green 10 ploughing/rotavating, manure transfer</t>
        </is>
      </c>
      <c r="C10" s="119" t="inlineStr">
        <is>
          <t>15+ Trips / Full Day</t>
        </is>
      </c>
      <c r="D10" s="107" t="inlineStr">
        <is>
          <t>Farm Asset ($0)</t>
        </is>
      </c>
      <c r="E10" s="28" t="n">
        <v>0</v>
      </c>
      <c r="F10" s="117" t="n">
        <v>0</v>
      </c>
      <c r="G10" s="107" t="inlineStr">
        <is>
          <t>Internal Farm Plant</t>
        </is>
      </c>
      <c r="H10" s="109" t="inlineStr">
        <is>
          <t>Chaka Farms shared equipment ($0 external hire)</t>
        </is>
      </c>
    </row>
    <row r="11" ht="26" customHeight="1">
      <c r="A11" s="84" t="inlineStr">
        <is>
          <t>GRAND TOTAL OPERATIONS EXPENDITURE (AUGUST 2026)</t>
        </is>
      </c>
      <c r="B11" s="85" t="n"/>
      <c r="C11" s="85" t="n"/>
      <c r="D11" s="85" t="n"/>
      <c r="E11" s="95">
        <f>SUM(E7:E10)</f>
        <v/>
      </c>
      <c r="F11" s="120">
        <f>SUM(F7:F10)</f>
        <v/>
      </c>
      <c r="G11" s="88" t="inlineStr">
        <is>
          <t>Certified Reconciled</t>
        </is>
      </c>
      <c r="H11" s="121" t="inlineStr">
        <is>
          <t>Zero discrepancy vs daily ledger</t>
        </is>
      </c>
    </row>
    <row r="12" ht="14" customHeight="1"/>
    <row r="13" ht="22" customHeight="1">
      <c r="A13" s="122" t="inlineStr">
        <is>
          <t>2. FUNCTIONAL WORK BREAKDOWN STRUCTURE (WBS) ALLOCATION</t>
        </is>
      </c>
    </row>
    <row r="14" ht="20" customHeight="1">
      <c r="A14" s="123" t="inlineStr">
        <is>
          <t>WBS Code</t>
        </is>
      </c>
      <c r="B14" s="123" t="inlineStr">
        <is>
          <t>Functional Program</t>
        </is>
      </c>
      <c r="C14" s="123" t="inlineStr">
        <is>
          <t>Scope Description &amp; Operational Assets</t>
        </is>
      </c>
      <c r="D14" s="123" t="inlineStr">
        <is>
          <t>Allocated Spend (KES)</t>
        </is>
      </c>
      <c r="E14" s="123" t="inlineStr">
        <is>
          <t>% Share</t>
        </is>
      </c>
      <c r="F14" s="123" t="inlineStr">
        <is>
          <t>Engineering Deliverable Milestone</t>
        </is>
      </c>
      <c r="G14" s="124" t="n"/>
      <c r="H14" s="124" t="n"/>
    </row>
    <row r="15" ht="21" customHeight="1">
      <c r="A15" s="111" t="inlineStr">
        <is>
          <t>WBS-01</t>
        </is>
      </c>
      <c r="B15" s="82" t="inlineStr">
        <is>
          <t>Water Reservoir Infrastructure</t>
        </is>
      </c>
      <c r="C15" s="110" t="inlineStr">
        <is>
          <t>Dam 1, Dam 2 &amp; Dam 3 excavation, murram bedrock cutting, deepening &amp; wall shaping</t>
        </is>
      </c>
      <c r="D15" s="47" t="n">
        <v>1650000</v>
      </c>
      <c r="E15" s="115">
        <f>D14/$D$18</f>
        <v/>
      </c>
      <c r="F15" s="110" t="inlineStr">
        <is>
          <t>Complete excavation of 3 reservoirs</t>
        </is>
      </c>
      <c r="G15" s="125" t="n"/>
      <c r="H15" s="125" t="n"/>
    </row>
    <row r="16" ht="21" customHeight="1">
      <c r="A16" s="107" t="inlineStr">
        <is>
          <t>WBS-02</t>
        </is>
      </c>
      <c r="B16" s="83" t="inlineStr">
        <is>
          <t>Teebox Civil Engineering</t>
        </is>
      </c>
      <c r="C16" s="106" t="inlineStr">
        <is>
          <t>Rough &amp; precision leveling of 14+ teeboxes (Nos. 1–5, 7–18), elevated plateau building</t>
        </is>
      </c>
      <c r="D16" s="28" t="n">
        <v>620000</v>
      </c>
      <c r="E16" s="117">
        <f>D15/$D$18</f>
        <v/>
      </c>
      <c r="F16" s="106" t="inlineStr">
        <is>
          <t>14+ Teeboxes graded to survey levels</t>
        </is>
      </c>
      <c r="G16" s="126" t="n"/>
      <c r="H16" s="126" t="n"/>
    </row>
    <row r="17" ht="21" customHeight="1">
      <c r="A17" s="111" t="inlineStr">
        <is>
          <t>WBS-03</t>
        </is>
      </c>
      <c r="B17" s="82" t="inlineStr">
        <is>
          <t>Greens Engineering &amp; Sub-Base</t>
        </is>
      </c>
      <c r="C17" s="110" t="inlineStr">
        <is>
          <t>Green 10 rotavating, subgrade shaping for Greens 5, 7, 8, 9, 17 &amp; drainage trenching</t>
        </is>
      </c>
      <c r="D17" s="47" t="n">
        <v>410000</v>
      </c>
      <c r="E17" s="115">
        <f>D16/$D$18</f>
        <v/>
      </c>
      <c r="F17" s="110" t="inlineStr">
        <is>
          <t>Herringbone drainage &amp; subgrade shaped</t>
        </is>
      </c>
      <c r="G17" s="125" t="n"/>
      <c r="H17" s="125" t="n"/>
    </row>
    <row r="18" ht="21" customHeight="1">
      <c r="A18" s="107" t="inlineStr">
        <is>
          <t>WBS-04</t>
        </is>
      </c>
      <c r="B18" s="83" t="inlineStr">
        <is>
          <t>Course Roads &amp; Boundary Works</t>
        </is>
      </c>
      <c r="C18" s="106" t="inlineStr">
        <is>
          <t>Old golf roads grading, clubhouse plateau buildup, perimeter tree holes, entrance leveling</t>
        </is>
      </c>
      <c r="D18" s="28" t="n">
        <v>110101.67</v>
      </c>
      <c r="E18" s="117">
        <f>D17/$D$18</f>
        <v/>
      </c>
      <c r="F18" s="106" t="inlineStr">
        <is>
          <t>Access routes established; palm holes dug</t>
        </is>
      </c>
      <c r="G18" s="126" t="n"/>
      <c r="H18" s="126" t="n"/>
    </row>
    <row r="19" ht="24" customHeight="1">
      <c r="A19" s="127" t="inlineStr">
        <is>
          <t>TOTAL WBS FUNCTIONAL ALLOCATION</t>
        </is>
      </c>
      <c r="B19" s="128" t="n"/>
      <c r="C19" s="128" t="n"/>
      <c r="D19" s="129">
        <f>SUM(D15:D18)</f>
        <v/>
      </c>
      <c r="E19" s="130">
        <f>SUM(E15:E18)</f>
        <v/>
      </c>
      <c r="F19" s="131" t="inlineStr">
        <is>
          <t>Reconciles 100% with Total Earthmoving Expenditure (KES 2,790,101.67)</t>
        </is>
      </c>
      <c r="G19" s="128" t="n"/>
      <c r="H19" s="128" t="n"/>
    </row>
    <row r="20" ht="14" customHeight="1"/>
    <row r="21" ht="22" customHeight="1">
      <c r="A21" s="132" t="inlineStr">
        <is>
          <t>3. STANDARD OPERATING PROCEDURE (SOP) AUDIT CERTIFICATION</t>
        </is>
      </c>
    </row>
    <row r="22" ht="20" customHeight="1">
      <c r="A22" s="133" t="inlineStr">
        <is>
          <t>Strict Site Isolation</t>
        </is>
      </c>
      <c r="B22" s="128" t="n"/>
      <c r="C22" s="134" t="inlineStr">
        <is>
          <t>Strictly isolated to Mucheru World of Golf operations. No Chaka Farms, Kabete, or Amani items included.</t>
        </is>
      </c>
      <c r="D22" s="128" t="n"/>
      <c r="E22" s="128" t="n"/>
      <c r="F22" s="128" t="n"/>
      <c r="G22" s="128" t="n"/>
      <c r="H22" s="128" t="n"/>
    </row>
    <row r="23" ht="20" customHeight="1">
      <c r="A23" s="133" t="inlineStr">
        <is>
          <t>Heavy Equipment Consolidation Rule</t>
        </is>
      </c>
      <c r="B23" s="128" t="n"/>
      <c r="C23" s="134" t="inlineStr">
        <is>
          <t>Front Loader and Backhoe verified as single vehicle on site (XGMA Backhoe Loader). Zero duplicate rows.</t>
        </is>
      </c>
      <c r="D23" s="128" t="n"/>
      <c r="E23" s="128" t="n"/>
      <c r="F23" s="128" t="n"/>
      <c r="G23" s="128" t="n"/>
      <c r="H23" s="128" t="n"/>
    </row>
    <row r="24" ht="20" customHeight="1">
      <c r="A24" s="133" t="inlineStr">
        <is>
          <t>Exact Day-by-Day Accounting</t>
        </is>
      </c>
      <c r="B24" s="128" t="n"/>
      <c r="C24" s="134" t="inlineStr">
        <is>
          <t>All 31 calendar days recorded individually from 1st to 31st August without date-range aggregation.</t>
        </is>
      </c>
      <c r="D24" s="128" t="n"/>
      <c r="E24" s="128" t="n"/>
      <c r="F24" s="128" t="n"/>
      <c r="G24" s="128" t="n"/>
      <c r="H24" s="128" t="n"/>
    </row>
    <row r="25" ht="20" customHeight="1">
      <c r="A25" s="133" t="inlineStr">
        <is>
          <t>Factual Grounding &amp; Verification</t>
        </is>
      </c>
      <c r="B25" s="128" t="n"/>
      <c r="C25" s="134" t="inlineStr">
        <is>
          <t>Every machine hour, haulage trip, material delivery, and meeting is strictly verified against certified field reports.</t>
        </is>
      </c>
      <c r="D25" s="128" t="n"/>
      <c r="E25" s="128" t="n"/>
      <c r="F25" s="128" t="n"/>
      <c r="G25" s="128" t="n"/>
      <c r="H25" s="128" t="n"/>
    </row>
  </sheetData>
  <mergeCells count="22">
    <mergeCell ref="C25:H25"/>
    <mergeCell ref="A24:B24"/>
    <mergeCell ref="F18:H18"/>
    <mergeCell ref="C22:H22"/>
    <mergeCell ref="F17:H17"/>
    <mergeCell ref="A1:H1"/>
    <mergeCell ref="A25:B25"/>
    <mergeCell ref="C23:H23"/>
    <mergeCell ref="A11:D11"/>
    <mergeCell ref="A3:H3"/>
    <mergeCell ref="A19:C19"/>
    <mergeCell ref="A21:H21"/>
    <mergeCell ref="F14:H14"/>
    <mergeCell ref="A2:H2"/>
    <mergeCell ref="A5:H5"/>
    <mergeCell ref="A23:B23"/>
    <mergeCell ref="A22:B22"/>
    <mergeCell ref="F16:H16"/>
    <mergeCell ref="C24:H24"/>
    <mergeCell ref="F19:H19"/>
    <mergeCell ref="A13:H13"/>
    <mergeCell ref="F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2026-09-02T12:37:59Z</dcterms:created>
  <dcterms:modified xmlns:dcterms="http://purl.org/dc/terms/" xmlns:xsi="http://www.w3.org/2001/XMLSchema-instance" xsi:type="dcterms:W3CDTF">2026-09-02T12:38:00Z</dcterms:modified>
</cp:coreProperties>
</file>