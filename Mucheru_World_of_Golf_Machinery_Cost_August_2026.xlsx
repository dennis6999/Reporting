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nni\Downloads\Reporting\"/>
    </mc:Choice>
  </mc:AlternateContent>
  <xr:revisionPtr revIDLastSave="0" documentId="13_ncr:1_{15FC19AE-A3C9-4AB0-9687-B1606BEF650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_Machinery_Costs" sheetId="1" r:id="rId1"/>
    <sheet name="Materials_&amp;_Other_Costs" sheetId="2" r:id="rId2"/>
    <sheet name="Monthly_Reconcili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3" l="1"/>
  <c r="E18" i="3"/>
  <c r="E17" i="3"/>
  <c r="E16" i="3"/>
  <c r="E15" i="3"/>
  <c r="E19" i="3" s="1"/>
  <c r="C9" i="3"/>
  <c r="M42" i="1"/>
  <c r="M41" i="1"/>
  <c r="I41" i="1"/>
  <c r="I42" i="1" s="1"/>
  <c r="F41" i="1"/>
  <c r="F42" i="1" s="1"/>
  <c r="K40" i="1"/>
  <c r="L40" i="1" s="1"/>
  <c r="R40" i="1" s="1"/>
  <c r="K39" i="1"/>
  <c r="L39" i="1" s="1"/>
  <c r="R39" i="1" s="1"/>
  <c r="K38" i="1"/>
  <c r="L38" i="1" s="1"/>
  <c r="R38" i="1" s="1"/>
  <c r="K37" i="1"/>
  <c r="L37" i="1" s="1"/>
  <c r="R37" i="1" s="1"/>
  <c r="K36" i="1"/>
  <c r="L36" i="1" s="1"/>
  <c r="R36" i="1" s="1"/>
  <c r="K35" i="1"/>
  <c r="L35" i="1" s="1"/>
  <c r="R35" i="1" s="1"/>
  <c r="K34" i="1"/>
  <c r="L34" i="1" s="1"/>
  <c r="R34" i="1" s="1"/>
  <c r="K33" i="1"/>
  <c r="L33" i="1" s="1"/>
  <c r="R33" i="1" s="1"/>
  <c r="K32" i="1"/>
  <c r="K41" i="1" s="1"/>
  <c r="K31" i="1"/>
  <c r="L31" i="1" s="1"/>
  <c r="R31" i="1" s="1"/>
  <c r="O30" i="1"/>
  <c r="K30" i="1"/>
  <c r="H30" i="1"/>
  <c r="L30" i="1" s="1"/>
  <c r="R30" i="1" s="1"/>
  <c r="O29" i="1"/>
  <c r="K29" i="1"/>
  <c r="H29" i="1"/>
  <c r="L29" i="1" s="1"/>
  <c r="R29" i="1" s="1"/>
  <c r="O28" i="1"/>
  <c r="K28" i="1"/>
  <c r="H28" i="1"/>
  <c r="L28" i="1" s="1"/>
  <c r="R28" i="1" s="1"/>
  <c r="O27" i="1"/>
  <c r="K27" i="1"/>
  <c r="H27" i="1"/>
  <c r="L27" i="1" s="1"/>
  <c r="R27" i="1" s="1"/>
  <c r="O26" i="1"/>
  <c r="H26" i="1"/>
  <c r="L26" i="1" s="1"/>
  <c r="R26" i="1" s="1"/>
  <c r="O25" i="1"/>
  <c r="K25" i="1"/>
  <c r="H25" i="1"/>
  <c r="L25" i="1" s="1"/>
  <c r="R25" i="1" s="1"/>
  <c r="O24" i="1"/>
  <c r="K24" i="1"/>
  <c r="H24" i="1"/>
  <c r="L24" i="1" s="1"/>
  <c r="R24" i="1" s="1"/>
  <c r="O23" i="1"/>
  <c r="K23" i="1"/>
  <c r="H23" i="1"/>
  <c r="L23" i="1" s="1"/>
  <c r="R23" i="1" s="1"/>
  <c r="O22" i="1"/>
  <c r="K22" i="1"/>
  <c r="H22" i="1"/>
  <c r="L22" i="1" s="1"/>
  <c r="R22" i="1" s="1"/>
  <c r="O21" i="1"/>
  <c r="H21" i="1"/>
  <c r="L21" i="1" s="1"/>
  <c r="R21" i="1" s="1"/>
  <c r="O20" i="1"/>
  <c r="H20" i="1"/>
  <c r="L20" i="1" s="1"/>
  <c r="R20" i="1" s="1"/>
  <c r="O19" i="1"/>
  <c r="H19" i="1"/>
  <c r="H41" i="1" s="1"/>
  <c r="O18" i="1"/>
  <c r="H18" i="1"/>
  <c r="L18" i="1" s="1"/>
  <c r="R18" i="1" s="1"/>
  <c r="O17" i="1"/>
  <c r="O41" i="1" s="1"/>
  <c r="H17" i="1"/>
  <c r="L17" i="1" s="1"/>
  <c r="R17" i="1" s="1"/>
  <c r="O16" i="1"/>
  <c r="H16" i="1"/>
  <c r="L16" i="1" s="1"/>
  <c r="R16" i="1" s="1"/>
  <c r="L15" i="1"/>
  <c r="R15" i="1" s="1"/>
  <c r="L14" i="1"/>
  <c r="R14" i="1" s="1"/>
  <c r="L13" i="1"/>
  <c r="R13" i="1" s="1"/>
  <c r="L12" i="1"/>
  <c r="R12" i="1" s="1"/>
  <c r="L11" i="1"/>
  <c r="R11" i="1" s="1"/>
  <c r="L10" i="1"/>
  <c r="L6" i="1" l="1"/>
  <c r="E9" i="3"/>
  <c r="O42" i="1"/>
  <c r="K42" i="1"/>
  <c r="E8" i="3"/>
  <c r="H6" i="1"/>
  <c r="D6" i="1"/>
  <c r="H42" i="1"/>
  <c r="E7" i="3"/>
  <c r="L32" i="1"/>
  <c r="R32" i="1" s="1"/>
  <c r="R10" i="1"/>
  <c r="C7" i="3"/>
  <c r="C8" i="3"/>
  <c r="L19" i="1"/>
  <c r="R19" i="1" s="1"/>
  <c r="E11" i="3" l="1"/>
  <c r="F7" i="3" s="1"/>
  <c r="F11" i="3" s="1"/>
  <c r="R43" i="1"/>
  <c r="R41" i="1"/>
  <c r="S10" i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F9" i="3"/>
  <c r="F8" i="3"/>
  <c r="L41" i="1"/>
  <c r="L42" i="1" s="1"/>
  <c r="R42" i="1" l="1"/>
  <c r="A6" i="1"/>
</calcChain>
</file>

<file path=xl/sharedStrings.xml><?xml version="1.0" encoding="utf-8"?>
<sst xmlns="http://schemas.openxmlformats.org/spreadsheetml/2006/main" count="535" uniqueCount="361">
  <si>
    <t>MUCHERU WORLD OF GOLF — DAILY MACHINERY &amp; OPERATIONS COST (AUGUST 1–31, 2026)</t>
  </si>
  <si>
    <t>Complete Day-by-Day Financial Breakdown from First Day (01 Aug) Through to Last Day (31 Aug) — Daily Active Accounting</t>
  </si>
  <si>
    <t>CONTRACT RATES: Tracked Excavator @ KES 8,500/hr  |  Backhoe Loader @ KES 6,500/hr  |  Tipper Haulage @ KES 1,000/trip  |  Tractor: Internal Farm Asset ($0)</t>
  </si>
  <si>
    <t>TOTAL MONTH OPERATIONS COST</t>
  </si>
  <si>
    <t>EXCAVATOR EXPENDITURE (SWE210)</t>
  </si>
  <si>
    <t>BACKHOE LOADER EXPENDITURE (XGMA)</t>
  </si>
  <si>
    <t>TIPPER HAULAGE FLEET EXPENDITURE</t>
  </si>
  <si>
    <t>ACTIVE TRACKING CONTINUITY</t>
  </si>
  <si>
    <t>31 Calendar Days Logged</t>
  </si>
  <si>
    <t>Combined Machinery &amp; Haulage</t>
  </si>
  <si>
    <t>123.10 Machine Hours @ KES 8,500/hr</t>
  </si>
  <si>
    <t>138.72 Machine Hours @ KES 6,500/hr</t>
  </si>
  <si>
    <t>842 Total Tipper Trips @ KES 1,000/trip</t>
  </si>
  <si>
    <t>25 Active Heavy Operations Days</t>
  </si>
  <si>
    <t>1. CALENDAR &amp; SITE MANAGEMENT</t>
  </si>
  <si>
    <t>2. TRACKED EXCAVATOR (KES 8,500/HR)</t>
  </si>
  <si>
    <t>3. BACKHOE LOADER (KES 6,500/HR)</t>
  </si>
  <si>
    <t>MACHINERY SUB-TOTAL</t>
  </si>
  <si>
    <t>4. TIPPER HAULAGE (KES 1,000/TRIP)</t>
  </si>
  <si>
    <t>5. TRACTOR LOGISTICS</t>
  </si>
  <si>
    <t>6. MATERIAL INFLOWS &amp; OTHER COSTS</t>
  </si>
  <si>
    <t>7. DAILY FINANCIAL TOTALS</t>
  </si>
  <si>
    <t>Day #</t>
  </si>
  <si>
    <t>Date</t>
  </si>
  <si>
    <t>Day of Week</t>
  </si>
  <si>
    <t>Supervision</t>
  </si>
  <si>
    <t>Target Work Zones &amp; Operations Scope</t>
  </si>
  <si>
    <t>Excavator Hours</t>
  </si>
  <si>
    <t>Hourly Rate</t>
  </si>
  <si>
    <t>Excavator Daily Cost</t>
  </si>
  <si>
    <t>Backhoe Hours</t>
  </si>
  <si>
    <t>Backhoe Daily Cost</t>
  </si>
  <si>
    <t>Machinery Subtotal</t>
  </si>
  <si>
    <t>Tipper Trips</t>
  </si>
  <si>
    <t>Rate / Trip</t>
  </si>
  <si>
    <t>Tipper Daily Cost</t>
  </si>
  <si>
    <t>Internal Tractor Logistics</t>
  </si>
  <si>
    <t>Other Costs, Material Inflows &amp; Milestones Logged That Day</t>
  </si>
  <si>
    <t>TOTAL DAILY COST (KES)</t>
  </si>
  <si>
    <t>CUMULATIVE COST MTD</t>
  </si>
  <si>
    <t>01-Aug-2026</t>
  </si>
  <si>
    <t>Saturday</t>
  </si>
  <si>
    <t>Ken &amp; Site Team</t>
  </si>
  <si>
    <t>Site preparation, baseline perimeter boundary reconnaissance &amp; access roads check</t>
  </si>
  <si>
    <t>—</t>
  </si>
  <si>
    <t>Pre-machinery mobilization phase; access gate inspection</t>
  </si>
  <si>
    <t>02-Aug-2026</t>
  </si>
  <si>
    <t>Sunday</t>
  </si>
  <si>
    <t>Mr. Gichuhi &amp; Ken</t>
  </si>
  <si>
    <t>Pre-campaign technical alignment; review of dam water catchment drainage gradients</t>
  </si>
  <si>
    <t>Surface runoff elevation inspection towards Dam 1 &amp; 2 footprints</t>
  </si>
  <si>
    <t>03-Aug-2026</t>
  </si>
  <si>
    <t>Monday</t>
  </si>
  <si>
    <t>Ken &amp; Execs</t>
  </si>
  <si>
    <t>Dedan Kimathi University of Technology (DeKUT) institutional outreach visit</t>
  </si>
  <si>
    <t>DeKUT outreach meeting to explore smart irrigation &amp; agronomy links</t>
  </si>
  <si>
    <t>04-Aug-2026</t>
  </si>
  <si>
    <t>Tuesday</t>
  </si>
  <si>
    <t>Ken &amp; Kinoti</t>
  </si>
  <si>
    <t>Topsoil profile staging review, site clearance coordination with farm team</t>
  </si>
  <si>
    <t>Fairway topsoil assessment &amp; agricultural equipment staging check</t>
  </si>
  <si>
    <t>05-Aug-2026</t>
  </si>
  <si>
    <t>Wednesday</t>
  </si>
  <si>
    <t>Dam 1 survey datum pegging and heavy equipment haul route clearance</t>
  </si>
  <si>
    <t>Setting excavation baseline pegs and access road clearance</t>
  </si>
  <si>
    <t>06-Aug-2026</t>
  </si>
  <si>
    <t>Thursday</t>
  </si>
  <si>
    <t>Ken &amp; Dispatch</t>
  </si>
  <si>
    <t>Final staging preparations prior to tracked plant arrival; bulk fuel check</t>
  </si>
  <si>
    <t>Diesel delivery &amp; secure overnight parking bays prepared</t>
  </si>
  <si>
    <t>07-Aug-2026</t>
  </si>
  <si>
    <t>Friday</t>
  </si>
  <si>
    <t>Ken &amp; Mr. Gichuhi</t>
  </si>
  <si>
    <t>Dam 1 groundbreaking kickoff (9:00 AM) &amp; initial excavation; spoil to Tee Boxes 5, 6, 8, 9</t>
  </si>
  <si>
    <t>Groundbreaking Kickoff (9:00 AM); 32 tipper loads to Tees 5, 6, 8, 9</t>
  </si>
  <si>
    <t>08-Aug-2026</t>
  </si>
  <si>
    <t>Dam 1 excavation resumed (2:00 PM) upon truck arrival; murram extraction</t>
  </si>
  <si>
    <t>19 tipper loads murram hauled to future clubhouse zone</t>
  </si>
  <si>
    <t>09-Aug-2026</t>
  </si>
  <si>
    <t>Dam 1 excavation advances to ~80%; mass haulage fill to Tee Boxes 1, 11–15</t>
  </si>
  <si>
    <t>56 tipper loads excavated murram to build up 6 teebox zones</t>
  </si>
  <si>
    <t>10-Aug-2026</t>
  </si>
  <si>
    <t>Dam 1 excavation achieves 100% completion milestone; spoil to fairway contours</t>
  </si>
  <si>
    <t>Dam 1 100% Excavation Completion Milestone; 54 tipper loads hauled</t>
  </si>
  <si>
    <t>11-Aug-2026</t>
  </si>
  <si>
    <t>Dam 1 wall shaping, side batter scouring &amp; murram level deep excavation</t>
  </si>
  <si>
    <t>Hardcore rock delivery; Green 3 manual sub-base laying commenced</t>
  </si>
  <si>
    <t>12-Aug-2026</t>
  </si>
  <si>
    <t>Dam 2 excavation commencement; spoil dumped along old quad tracks; massive materials</t>
  </si>
  <si>
    <t>18 loads red soil + 18 loads hardcore + 3 ballast + PVC pipes; gate straightened</t>
  </si>
  <si>
    <t>13-Aug-2026</t>
  </si>
  <si>
    <t>Backhoe arrived (10:00 AM); Dam 2 excavation (~60%), Dam 1 levelling; peak haulage day</t>
  </si>
  <si>
    <t>Peak Haulage Day (82 Trips); Green 3 red topsoil grading active</t>
  </si>
  <si>
    <t>14-Aug-2026</t>
  </si>
  <si>
    <t>Dam 2 Round 2 deepening &amp; Dam 1 wall smoothening; Greens 5, 7 apron grading</t>
  </si>
  <si>
    <t>Rock breaking on Greens 1–3; DeKUT Wildlife Conservancy tour with Joe Mucheru</t>
  </si>
  <si>
    <t>15-Aug-2026</t>
  </si>
  <si>
    <t>Dam 2 murram deepening, Teebox No. 5 levelling completed (100%); old roads clearance</t>
  </si>
  <si>
    <t>Teebox 5 100% complete; PVC drainage pipes laid; Architect Kevin Njoroge visit</t>
  </si>
  <si>
    <t>16-Aug-2026</t>
  </si>
  <si>
    <t>Dam 3 groundbreaking kickoff; old golf course roads grading &amp; fairway contouring</t>
  </si>
  <si>
    <t>Dam 3 Groundbreaking Kickoff; 65 tipper trips across course roads</t>
  </si>
  <si>
    <t>17-Aug-2026</t>
  </si>
  <si>
    <t>Dam 3 deep basin cutting &amp; tipper loading; Backhoe non-operational (idle maintenance)</t>
  </si>
  <si>
    <t>Backhoe idle for routine servicing ($0); 75 tipper trips Dam 3 spoil</t>
  </si>
  <si>
    <t>18-Aug-2026</t>
  </si>
  <si>
    <t>Mr. Gichuhi &amp; Kinoti</t>
  </si>
  <si>
    <t>Dam 3 basin floor deepening, embankment profiling, Tee Box 16 grading</t>
  </si>
  <si>
    <t>2 Trips Timber Posts</t>
  </si>
  <si>
    <t>Pumice volcanic rock delivered for Greens 1–3; 2 tractor trips timber posts</t>
  </si>
  <si>
    <t>19-Aug-2026</t>
  </si>
  <si>
    <t>Dam 3 excavation, Dam 2 basin shaping, Tee Box 9 levelling &amp; dumped soil grading</t>
  </si>
  <si>
    <t>1 Trip Timber Posts</t>
  </si>
  <si>
    <t>1 tractor trip timber; sub-surface drainage layout; site aerial drone survey</t>
  </si>
  <si>
    <t>20-Aug-2026</t>
  </si>
  <si>
    <t>Dam 3 100% completion milestone; Dam 2 deepening; Tee Box 7 levelling</t>
  </si>
  <si>
    <t>Dam 3 100% Completion (3 Reservoirs Delivered!); timber posts transferred</t>
  </si>
  <si>
    <t>21-Aug-2026</t>
  </si>
  <si>
    <t>Final day of Excavator &amp; Tipper campaign. Dam 2 murram excavation &amp; clubhouse haulage</t>
  </si>
  <si>
    <t>Final shift Excavator &amp; Tippers; manual brush clearance on Greens 14, 15, 16</t>
  </si>
  <si>
    <t>22-Aug-2026</t>
  </si>
  <si>
    <t>Dam 2 clearance, boundary palm tree holes, Tee 15 leveling; Executive walkthrough</t>
  </si>
  <si>
    <t>15 Trips (12 Golf + 3 Farm)</t>
  </si>
  <si>
    <t>Executive walkthrough with Joe Mucheru; 15 tractor trailer trips; lime survey</t>
  </si>
  <si>
    <t>23-Aug-2026</t>
  </si>
  <si>
    <t>Boundary palm tree hole excavation, entrance leveling; main drainage trench alignment</t>
  </si>
  <si>
    <t>Drainage trench layout to dams with Joe Mucheru; hardcore foundation QA</t>
  </si>
  <si>
    <t>24-Aug-2026</t>
  </si>
  <si>
    <t>Teebox leveling across 5 tees (Tees 11, 12, 13, 14, 17) &amp; road grading</t>
  </si>
  <si>
    <t>Green 10 Plough &amp; Rotavate</t>
  </si>
  <si>
    <t>Green 10 deep mechanical ploughing &amp; rotavation by farm tractor; drainage trenching</t>
  </si>
  <si>
    <t>25-Aug-2026</t>
  </si>
  <si>
    <t>Teebox leveling across 6 tees (Tees 1–4, 10, 11), earthmoving &amp; grading</t>
  </si>
  <si>
    <t>Green 10 surface clearance; teebox hardcore revetment inspection</t>
  </si>
  <si>
    <t>26-Aug-2026</t>
  </si>
  <si>
    <t>Uneven ground leveling, rough shaping, Teebox 4 &amp; 18 grading, spreading dumped spoil</t>
  </si>
  <si>
    <t>Bulk hardcore deliveries for Greens 11, 14, 15, 16; Green 15 hand packing</t>
  </si>
  <si>
    <t>27-Aug-2026</t>
  </si>
  <si>
    <t>Peak Backhoe shift (10.0 hrs): ground leveling &amp; rough grading Green 5 &amp; 7 corridors</t>
  </si>
  <si>
    <t>Peak Backhoe Shift (10h); Green 14 rock packing; 2nd nine bulk materials staged</t>
  </si>
  <si>
    <t>28-Aug-2026</t>
  </si>
  <si>
    <t>Soil clearing Green 6, leveling Green 8, Teebox 5 &amp; 8 grading; Cost alignment meeting</t>
  </si>
  <si>
    <t>Organic Manure Transfer</t>
  </si>
  <si>
    <t>Cost alignment meeting (Joe Mucheru, Kevin Njoroge, Surveyor, Contractor); manure</t>
  </si>
  <si>
    <t>29-Aug-2026</t>
  </si>
  <si>
    <t>Mr. Gichuhi</t>
  </si>
  <si>
    <t>Dam 2 basin clearance, desilting &amp; excavation; trailer soil loading; Green 12 rock base</t>
  </si>
  <si>
    <t>Tractor Trailer Soil Loads</t>
  </si>
  <si>
    <t>11 commercial loads red topsoil delivered; Green 12 rock base; Dam 2 desilting</t>
  </si>
  <si>
    <t>30-Aug-2026</t>
  </si>
  <si>
    <t>Earth clearance, subsoil grading &amp; shaping for new Green 17, Green 7, and Tee 17</t>
  </si>
  <si>
    <t>Green 18 hardcore rock placement; Green 10 red soil &amp; ballast staged</t>
  </si>
  <si>
    <t>31-Aug-2026</t>
  </si>
  <si>
    <t>Dam 1 residual murram excavation &amp; loading, Teebox 9 leveling, Green 9 expansion</t>
  </si>
  <si>
    <t>Tractor Trailer Loading</t>
  </si>
  <si>
    <t>Dam 1 murram removal; Green 7 elevated teebox; Green 9 contour expansion; chalk grid</t>
  </si>
  <si>
    <t>CUMULATIVE AUGUST 2026 OPERATIONS GRAND TOTAL (ALL 31 DAYS)</t>
  </si>
  <si>
    <t>15+ Trips</t>
  </si>
  <si>
    <t>All Physical Inflows Logged</t>
  </si>
  <si>
    <t>Daily Operating Average (25 Active Heavy Operations Days):</t>
  </si>
  <si>
    <t>Average Operations Spend per Active Day:</t>
  </si>
  <si>
    <t>KES 111,604 / active day</t>
  </si>
  <si>
    <t>Peak Single-Day Expenditure Record:</t>
  </si>
  <si>
    <t>★ Peak Day: 13th August 2026 (Dam 2 Deepening + Dam 1 Leveling + 82 Tipper Trips + Dual Plant Active)</t>
  </si>
  <si>
    <t>Peak Single Day</t>
  </si>
  <si>
    <t>MUCHERU WORLD OF GOLF — PHYSICAL MATERIAL DELIVERIES &amp; SPECIALIZED SERVICES</t>
  </si>
  <si>
    <t>Master Inventory of Physical Deliveries (Hardcore, Red Topsoil, Pumice, Ballast, Sand, Pipes) &amp; Professional Alignments — August 2026</t>
  </si>
  <si>
    <t>AUDIT STANDARD: Strictly grounded in certified daily operations field reports (No unmentioned items)</t>
  </si>
  <si>
    <t>Material / Service Item</t>
  </si>
  <si>
    <t>Material Specification</t>
  </si>
  <si>
    <t>Delivery Volume Logged</t>
  </si>
  <si>
    <t>Primary Target Locations</t>
  </si>
  <si>
    <t>Engineering / Agronomic Function</t>
  </si>
  <si>
    <t>Specific Delivery Dates Logged</t>
  </si>
  <si>
    <t>Handling Status</t>
  </si>
  <si>
    <t>Supervising Lead</t>
  </si>
  <si>
    <t>Account Classification</t>
  </si>
  <si>
    <t>Billing &amp; Utilization Notes</t>
  </si>
  <si>
    <t>Hardcore Quarry Stones</t>
  </si>
  <si>
    <t>Crushed basalt rock, 150–250mm</t>
  </si>
  <si>
    <t>Multiple tipper loads (15+ tons/load; 18 loads on Aug 12)</t>
  </si>
  <si>
    <t>Greens 1, 3, 4, 9, 11, 12, 14, 15, 16, 18</t>
  </si>
  <si>
    <t>Sub-base foundation reinforcement, structural packing &amp; subgrade stabilization</t>
  </si>
  <si>
    <t>Aug 11, 12, 23, 26, 27, 28, 29, 30</t>
  </si>
  <si>
    <t>Hand-Packed on Site</t>
  </si>
  <si>
    <t>Quarry Supply Contract</t>
  </si>
  <si>
    <t>Delivered via commercial tippers; hand-arranged into quadrant beds by labor crew</t>
  </si>
  <si>
    <t>High-Grade Red Topsoil</t>
  </si>
  <si>
    <t>Screened fertile loam topsoil</t>
  </si>
  <si>
    <t>29+ Commercial loads (18 on Aug 12, 11 on Aug 29)</t>
  </si>
  <si>
    <t>Teeboxes 1–18, Green 10, Fairways, Palm Line</t>
  </si>
  <si>
    <t>Precision teebox profiling, putting green rootzone build-up &amp; fairway contouring</t>
  </si>
  <si>
    <t>Aug 12, 13, 14, 27, 28, 29, 31</t>
  </si>
  <si>
    <t>Graded &amp; Profiled</t>
  </si>
  <si>
    <t>Bulk Topsoil Supply</t>
  </si>
  <si>
    <t>Delivered via tippers; leveled by Backhoe Loader and Farm Tractor</t>
  </si>
  <si>
    <t>Pumice Volcanic Rock</t>
  </si>
  <si>
    <t>Graded porous volcanic pumice</t>
  </si>
  <si>
    <t>Multiple full lorry loads</t>
  </si>
  <si>
    <t>Greens 1, 2, 3 &amp; 10</t>
  </si>
  <si>
    <t>Porous sub-base layer, moisture retention &amp; internal green water filtration beds</t>
  </si>
  <si>
    <t>Aug 18, 27</t>
  </si>
  <si>
    <t>Staged &amp; Laid</t>
  </si>
  <si>
    <t>Ken</t>
  </si>
  <si>
    <t>Specialized Aggregate</t>
  </si>
  <si>
    <t>Specialized volcanic rock delivery for putting green profile engineering</t>
  </si>
  <si>
    <t>Ballast Stone</t>
  </si>
  <si>
    <t>Clean graded angular stone (20mm)</t>
  </si>
  <si>
    <t>Multiple tipper loads (3 loads on Aug 12)</t>
  </si>
  <si>
    <t>Greens 1–4, 9, 10, 14, 15 sub-bases</t>
  </si>
  <si>
    <t>Intermediate drainage bedding over hardcore and around perforated PVC pipes</t>
  </si>
  <si>
    <t>Aug 12, 15, 27, 30, 31</t>
  </si>
  <si>
    <t>Utilized in Trenches</t>
  </si>
  <si>
    <t>Quarry Aggregate Supply</t>
  </si>
  <si>
    <t>Positioned in herringbone trench networks to protect sub-surface pipes</t>
  </si>
  <si>
    <t>Clean Construction Sand</t>
  </si>
  <si>
    <t>Washed river sand aggregate</t>
  </si>
  <si>
    <t>Multiple tipper lorry loads</t>
  </si>
  <si>
    <t>Greens rootzone staging &amp; pipe bedding</t>
  </si>
  <si>
    <t>Rootzone soil mix preparation and bedding backfill for drainage piping</t>
  </si>
  <si>
    <t>Aug 27, 29</t>
  </si>
  <si>
    <t>Staged on Site</t>
  </si>
  <si>
    <t>Bulk Sand Supply</t>
  </si>
  <si>
    <t>Staged at central preparation pads ready for blending into greens profile</t>
  </si>
  <si>
    <t>PVC Drainage &amp; Irrigation Pipes</t>
  </si>
  <si>
    <t>Perforated 100mm &amp; solid pressure PVC</t>
  </si>
  <si>
    <t>Full bundled delivery (pipes, fittings, heads)</t>
  </si>
  <si>
    <t>Greens 1–4, 9, 10, 14; fairway mains</t>
  </si>
  <si>
    <t>Sub-surface herringbone drainage networks &amp; automated course irrigation lines</t>
  </si>
  <si>
    <t>Aug 12, 15, 19, 23, 26, 31</t>
  </si>
  <si>
    <t>Installed Underground</t>
  </si>
  <si>
    <t>Willy &amp; Ground Plumbers</t>
  </si>
  <si>
    <t>Irrigation Supply Contract</t>
  </si>
  <si>
    <t>Specialized fittings, couplings and rotary impact sprinkler assemblies</t>
  </si>
  <si>
    <t>Organic Goat Manure</t>
  </si>
  <si>
    <t>Aged cured livestock manure</t>
  </si>
  <si>
    <t>Multiple tractor trailer loads</t>
  </si>
  <si>
    <t>Perimeter palm tree holes &amp; fairways</t>
  </si>
  <si>
    <t>Soil enrichment, nutrient boosting &amp; organic conditioning for tree planting</t>
  </si>
  <si>
    <t>Aug 28</t>
  </si>
  <si>
    <t>Spread &amp; Applied</t>
  </si>
  <si>
    <t>Kinoti</t>
  </si>
  <si>
    <t>Internal Farm Transfer</t>
  </si>
  <si>
    <t>Transferred from Chaka Farms livestock sheds via farm tractor trailer ($0)</t>
  </si>
  <si>
    <t>Boundary Fence Assets &amp; Gates</t>
  </si>
  <si>
    <t>Treated posts, wire mesh, gate fittings</t>
  </si>
  <si>
    <t>Perimeter boundary assemblies</t>
  </si>
  <si>
    <t>Main Course Entrance &amp; Boundaries</t>
  </si>
  <si>
    <t>Site perimeter security, asset transfer and access control gate fittings</t>
  </si>
  <si>
    <t>Aug 12, 18, 19, 20, 22, 23</t>
  </si>
  <si>
    <t>Erected &amp; Secured</t>
  </si>
  <si>
    <t>Infrastructure Assets</t>
  </si>
  <si>
    <t>Relocated timber posts and metal boundary grills fitted at key access points</t>
  </si>
  <si>
    <t>Kevin Njoroge (Lead Architect)</t>
  </si>
  <si>
    <t>Architectural &amp; Masterplanning Retainer</t>
  </si>
  <si>
    <t>Multiple on-site alignment sessions</t>
  </si>
  <si>
    <t>Clubhouse zone, spa footprint, hole layouts</t>
  </si>
  <si>
    <t>Masterplan survey, clubhouse orientation, putting green contour setting &amp; sign-off</t>
  </si>
  <si>
    <t>Aug 15, Aug 28</t>
  </si>
  <si>
    <t>Consulting Active</t>
  </si>
  <si>
    <t>Joe Mucheru &amp; Architect</t>
  </si>
  <si>
    <t>Professional Retainer</t>
  </si>
  <si>
    <t>Reviewed construction schedules, clubhouse parking, entrance gate &amp; BOQ</t>
  </si>
  <si>
    <t>Surveyor Gachagua</t>
  </si>
  <si>
    <t>Licensed Cadastral &amp; Civil Survey</t>
  </si>
  <si>
    <t>Topographical survey &amp; datum pegging</t>
  </si>
  <si>
    <t>Dams 1–3, Teeboxes 1–18, 2nd Nine Greens</t>
  </si>
  <si>
    <t>Topographical elevation survey, boundary pegs verification, dam basin datum setting</t>
  </si>
  <si>
    <t>Aug 05, Aug 22, Aug 28</t>
  </si>
  <si>
    <t>Certified Survey</t>
  </si>
  <si>
    <t>Mr. Gichuhi &amp; Surveyor</t>
  </si>
  <si>
    <t>Professional Survey Retainer</t>
  </si>
  <si>
    <t>Attended Aug 28 executive cost evaluation &amp; schedule finalization meeting</t>
  </si>
  <si>
    <t>General Building Contractor</t>
  </si>
  <si>
    <t>Civil Construction Lead</t>
  </si>
  <si>
    <t>Structural planning &amp; timetable review</t>
  </si>
  <si>
    <t>Clubhouse plateau &amp; foundation</t>
  </si>
  <si>
    <t>Clubhouse structural planning, phasing strategies, bill of quantities (BOQ) review</t>
  </si>
  <si>
    <t>Civil Works Alignment</t>
  </si>
  <si>
    <t>Joe Mucheru &amp; Contractor</t>
  </si>
  <si>
    <t>Contractor Alignment</t>
  </si>
  <si>
    <t>Participated in executive cost evaluation meeting hosted by Mr. Joe Mucheru</t>
  </si>
  <si>
    <t>DeKUT Engineering &amp; Agronomy</t>
  </si>
  <si>
    <t>Institutional Academic Partner</t>
  </si>
  <si>
    <t>Strategic collaboration meetings &amp; tours</t>
  </si>
  <si>
    <t>University Campus / Golf Course link</t>
  </si>
  <si>
    <t>Collaboration on smart irrigation, local agronomy technologies &amp; wildlife conservancy</t>
  </si>
  <si>
    <t>Aug 03, Aug 14</t>
  </si>
  <si>
    <t>Academic Partnership ($0)</t>
  </si>
  <si>
    <t>Vice Chancellor &amp; Council Chair</t>
  </si>
  <si>
    <t>Strategic Partnership</t>
  </si>
  <si>
    <t>High-level courtesy visits and strategic technology collaboration discussions</t>
  </si>
  <si>
    <t>MUCHERU WORLD OF GOLF — MONTHLY RECONCILIATION &amp; AUDIT COMPLIANCE</t>
  </si>
  <si>
    <t>Account Summary, Functional Work Breakdown Structure (WBS) &amp; Standard Operating Procedure (SOP) Certification — August 2026</t>
  </si>
  <si>
    <t>CROSS-SHEET LINKED: Dynamically verified against Daily_Machinery_Costs!R41 (Grand Total: KES 2,790,101.67)</t>
  </si>
  <si>
    <t>1. CONSOLIDATED ACCOUNTS RECONCILIATION</t>
  </si>
  <si>
    <t>Asset / Operation Account</t>
  </si>
  <si>
    <t>Contract Specification</t>
  </si>
  <si>
    <t>Operational Units Logged</t>
  </si>
  <si>
    <t>Contract Billing Basis</t>
  </si>
  <si>
    <t>Total Expenditure (KES)</t>
  </si>
  <si>
    <t>% of Total Spend</t>
  </si>
  <si>
    <t>Accounting Treatment</t>
  </si>
  <si>
    <t>Audit Verification Standard</t>
  </si>
  <si>
    <t>Tracked Hydraulic Excavator</t>
  </si>
  <si>
    <t>Sunward SWE210 (21-Ton) deep reservoir excavation</t>
  </si>
  <si>
    <t>KES 8,500 / Hour</t>
  </si>
  <si>
    <t>Direct Heavy Plant</t>
  </si>
  <si>
    <t>15 Daily shift logs verified</t>
  </si>
  <si>
    <t>Backhoe Loader (Consolidated)</t>
  </si>
  <si>
    <t>XGMA XG765N teebox leveling &amp; dam wall shaping</t>
  </si>
  <si>
    <t>KES 6,500 / Hour</t>
  </si>
  <si>
    <t>Consolidated Front Loader + Backhoe per SOP</t>
  </si>
  <si>
    <t>Tipper Lorry Earthmoving Fleet</t>
  </si>
  <si>
    <t>Commercial tippers hauling excavated murram &amp; overburden</t>
  </si>
  <si>
    <t>KES 1,000 / Trip</t>
  </si>
  <si>
    <t>Commercial Haulage</t>
  </si>
  <si>
    <t>842 trips verified against damping logs</t>
  </si>
  <si>
    <t>Site Agricultural Tractor &amp; Trailer</t>
  </si>
  <si>
    <t>Kinoti: Green 10 ploughing/rotavating, manure transfer</t>
  </si>
  <si>
    <t>15+ Trips / Full Day</t>
  </si>
  <si>
    <t>Farm Asset ($0)</t>
  </si>
  <si>
    <t>Internal Farm Plant</t>
  </si>
  <si>
    <t>Chaka Farms shared equipment ($0 external hire)</t>
  </si>
  <si>
    <t>GRAND TOTAL OPERATIONS EXPENDITURE (AUGUST 2026)</t>
  </si>
  <si>
    <t>Certified Reconciled</t>
  </si>
  <si>
    <t>Zero discrepancy vs daily ledger</t>
  </si>
  <si>
    <t>2. FUNCTIONAL WORK BREAKDOWN STRUCTURE (WBS) ALLOCATION</t>
  </si>
  <si>
    <t>WBS Code</t>
  </si>
  <si>
    <t>Functional Program</t>
  </si>
  <si>
    <t>Scope Description &amp; Operational Assets</t>
  </si>
  <si>
    <t>Allocated Spend (KES)</t>
  </si>
  <si>
    <t>% Share</t>
  </si>
  <si>
    <t>Engineering Deliverable Milestone</t>
  </si>
  <si>
    <t>WBS-01</t>
  </si>
  <si>
    <t>Water Reservoir Infrastructure</t>
  </si>
  <si>
    <t>Dam 1, Dam 2 &amp; Dam 3 excavation, murram bedrock cutting, deepening &amp; wall shaping</t>
  </si>
  <si>
    <t>Complete excavation of 3 reservoirs</t>
  </si>
  <si>
    <t>WBS-02</t>
  </si>
  <si>
    <t>Teebox Civil Engineering</t>
  </si>
  <si>
    <t>Rough &amp; precision leveling of 14+ teeboxes (Nos. 1–5, 7–18), elevated plateau building</t>
  </si>
  <si>
    <t>14+ Teeboxes graded to survey levels</t>
  </si>
  <si>
    <t>WBS-03</t>
  </si>
  <si>
    <t>Greens Engineering &amp; Sub-Base</t>
  </si>
  <si>
    <t>Green 10 rotavating, subgrade shaping for Greens 5, 7, 8, 9, 17 &amp; drainage trenching</t>
  </si>
  <si>
    <t>Herringbone drainage &amp; subgrade shaped</t>
  </si>
  <si>
    <t>WBS-04</t>
  </si>
  <si>
    <t>Course Roads &amp; Boundary Works</t>
  </si>
  <si>
    <t>Old golf roads grading, clubhouse plateau buildup, perimeter tree holes, entrance leveling</t>
  </si>
  <si>
    <t>Access routes established; palm holes dug</t>
  </si>
  <si>
    <t>TOTAL WBS FUNCTIONAL ALLOCATION</t>
  </si>
  <si>
    <t>Reconciles 100% with Total Earthmoving Expenditure (KES 2,790,101.67)</t>
  </si>
  <si>
    <t>3. STANDARD OPERATING PROCEDURE (SOP) AUDIT CERTIFICATION</t>
  </si>
  <si>
    <t>Strict Site Isolation</t>
  </si>
  <si>
    <t>Strictly isolated to Mucheru World of Golf operations. No Chaka Farms, Kabete, or Amani items included.</t>
  </si>
  <si>
    <t>Heavy Equipment Consolidation Rule</t>
  </si>
  <si>
    <t>Front Loader and Backhoe verified as single vehicle on site (XGMA Backhoe Loader). Zero duplicate rows.</t>
  </si>
  <si>
    <t>Exact Day-by-Day Accounting</t>
  </si>
  <si>
    <t>All 31 calendar days recorded individually from 1st to 31st August without date-range aggregation.</t>
  </si>
  <si>
    <t>Factual Grounding &amp; Verification</t>
  </si>
  <si>
    <t>Every machine hour, haulage trip, material delivery, and meeting is strictly verified against certified field reports.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</si>
</sst>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KES &quot;\ #,##0.00"/>
    <numFmt numFmtId="165" formatCode="0.00\ &quot; hrs&quot;"/>
    <numFmt numFmtId="166" formatCode="#,##0\ &quot; Trips&quot;"/>
    <numFmt numFmtId="167" formatCode="0.00\ &quot; h/day&quot;"/>
    <numFmt numFmtId="168" formatCode="0.0\ &quot; tr/day&quot;"/>
    <numFmt numFmtId="169" formatCode="0.0%"/>
  </numFmts>
  <fonts count="2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i/>
      <sz val="10"/>
      <color rgb="FF94A3B8"/>
      <name val="Calibri"/>
    </font>
    <font>
      <b/>
      <sz val="9"/>
      <color rgb="FFCBD5E1"/>
      <name val="Calibri"/>
    </font>
    <font>
      <b/>
      <sz val="9"/>
      <color rgb="FF64748B"/>
      <name val="Calibri"/>
    </font>
    <font>
      <b/>
      <sz val="17"/>
      <color rgb="FF14532D"/>
      <name val="Calibri"/>
    </font>
    <font>
      <i/>
      <sz val="8"/>
      <color rgb="FF94A3B8"/>
      <name val="Calibri"/>
    </font>
    <font>
      <b/>
      <sz val="17"/>
      <color rgb="FF0F172A"/>
      <name val="Calibri"/>
    </font>
    <font>
      <b/>
      <sz val="17"/>
      <color rgb="FFB45309"/>
      <name val="Calibri"/>
    </font>
    <font>
      <b/>
      <sz val="10"/>
      <color rgb="FFFFFFFF"/>
      <name val="Calibri"/>
    </font>
    <font>
      <b/>
      <sz val="9"/>
      <color rgb="FF0F172A"/>
      <name val="Calibri"/>
    </font>
    <font>
      <b/>
      <sz val="9"/>
      <color rgb="FF475569"/>
      <name val="Calibri"/>
    </font>
    <font>
      <sz val="10"/>
      <color rgb="FF0F172A"/>
      <name val="Calibri"/>
    </font>
    <font>
      <sz val="9"/>
      <color rgb="FF94A3B8"/>
      <name val="Calibri"/>
    </font>
    <font>
      <b/>
      <sz val="10"/>
      <color rgb="FF0F172A"/>
      <name val="Calibri"/>
    </font>
    <font>
      <i/>
      <sz val="9"/>
      <color rgb="FF64748B"/>
      <name val="Calibri"/>
    </font>
    <font>
      <b/>
      <sz val="10"/>
      <color rgb="FF14532D"/>
      <name val="Calibri"/>
    </font>
    <font>
      <b/>
      <sz val="10"/>
      <color rgb="FFB45309"/>
      <name val="Calibri"/>
    </font>
    <font>
      <b/>
      <sz val="10.5"/>
      <color rgb="FF064E3B"/>
      <name val="Calibri"/>
    </font>
    <font>
      <b/>
      <sz val="11"/>
      <color rgb="FFFFFFFF"/>
      <name val="Calibri"/>
    </font>
    <font>
      <b/>
      <sz val="11"/>
      <color rgb="FF4ADE80"/>
      <name val="Calibri"/>
    </font>
    <font>
      <b/>
      <sz val="11"/>
      <color rgb="FF6EE7B7"/>
      <name val="Calibri"/>
    </font>
    <font>
      <b/>
      <sz val="11"/>
      <color rgb="FFFBBF24"/>
      <name val="Calibri"/>
    </font>
    <font>
      <b/>
      <sz val="12"/>
      <color rgb="FF4ADE80"/>
      <name val="Calibri"/>
    </font>
    <font>
      <b/>
      <sz val="10.5"/>
      <color rgb="FFB45309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F1F5F9"/>
        <bgColor rgb="FFF1F5F9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15803D"/>
        <bgColor rgb="FF15803D"/>
      </patternFill>
    </fill>
    <fill>
      <patternFill patternType="solid">
        <fgColor rgb="FF166534"/>
        <bgColor rgb="FF166534"/>
      </patternFill>
    </fill>
    <fill>
      <patternFill patternType="solid">
        <fgColor rgb="FF14532D"/>
        <bgColor rgb="FF14532D"/>
      </patternFill>
    </fill>
    <fill>
      <patternFill patternType="solid">
        <fgColor rgb="FFB45309"/>
        <bgColor rgb="FFB45309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  <fill>
      <patternFill patternType="solid">
        <fgColor rgb="FFFFFFFF"/>
        <bgColor rgb="FFFFFFFF"/>
      </patternFill>
    </fill>
    <fill>
      <patternFill patternType="solid">
        <fgColor rgb="FFD1FAE5"/>
        <bgColor rgb="FFD1FAE5"/>
      </patternFill>
    </fill>
    <fill>
      <patternFill patternType="solid">
        <fgColor rgb="FFFFFBEB"/>
        <bgColor rgb="FFFFFBEB"/>
      </patternFill>
    </fill>
    <fill>
      <patternFill patternType="solid">
        <fgColor rgb="FFE2FBE8"/>
        <bgColor rgb="FFE2FBE8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334155"/>
      </top>
      <bottom style="medium">
        <color rgb="FF334155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94A3B8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medium">
        <color rgb="FF94A3B8"/>
      </bottom>
      <diagonal/>
    </border>
    <border>
      <left style="thin">
        <color rgb="FFE2E8F0"/>
      </left>
      <right style="medium">
        <color rgb="FF94A3B8"/>
      </right>
      <top style="thin">
        <color rgb="FFE2E8F0"/>
      </top>
      <bottom style="medium">
        <color rgb="FF94A3B8"/>
      </bottom>
      <diagonal/>
    </border>
    <border>
      <left style="thin">
        <color rgb="FFE2E8F0"/>
      </left>
      <right style="thin">
        <color rgb="FFE2E8F0"/>
      </right>
      <top style="medium">
        <color rgb="FF334155"/>
      </top>
      <bottom style="double">
        <color rgb="FFFFFFFF"/>
      </bottom>
      <diagonal/>
    </border>
    <border>
      <left style="thin">
        <color rgb="FFE2E8F0"/>
      </left>
      <right style="medium">
        <color rgb="FF94A3B8"/>
      </right>
      <top style="medium">
        <color rgb="FF334155"/>
      </top>
      <bottom style="double">
        <color rgb="FFFFFFFF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9" fillId="2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right" vertical="center"/>
    </xf>
    <xf numFmtId="0" fontId="11" fillId="12" borderId="3" xfId="0" applyFont="1" applyFill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12" fillId="12" borderId="4" xfId="0" applyFont="1" applyFill="1" applyBorder="1"/>
    <xf numFmtId="0" fontId="13" fillId="12" borderId="3" xfId="0" applyFont="1" applyFill="1" applyBorder="1" applyAlignment="1">
      <alignment horizontal="right" vertical="center"/>
    </xf>
    <xf numFmtId="164" fontId="13" fillId="12" borderId="4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0" fontId="13" fillId="12" borderId="3" xfId="0" applyFont="1" applyFill="1" applyBorder="1"/>
    <xf numFmtId="0" fontId="15" fillId="12" borderId="4" xfId="0" applyFont="1" applyFill="1" applyBorder="1"/>
    <xf numFmtId="164" fontId="14" fillId="12" borderId="3" xfId="0" applyNumberFormat="1" applyFont="1" applyFill="1" applyBorder="1" applyAlignment="1">
      <alignment horizontal="right" vertical="center"/>
    </xf>
    <xf numFmtId="0" fontId="11" fillId="14" borderId="5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2" fillId="14" borderId="6" xfId="0" applyFont="1" applyFill="1" applyBorder="1"/>
    <xf numFmtId="0" fontId="13" fillId="14" borderId="5" xfId="0" applyFont="1" applyFill="1" applyBorder="1" applyAlignment="1">
      <alignment horizontal="right" vertical="center"/>
    </xf>
    <xf numFmtId="164" fontId="13" fillId="14" borderId="6" xfId="0" applyNumberFormat="1" applyFont="1" applyFill="1" applyBorder="1" applyAlignment="1">
      <alignment horizontal="right" vertical="center"/>
    </xf>
    <xf numFmtId="164" fontId="14" fillId="13" borderId="6" xfId="0" applyNumberFormat="1" applyFont="1" applyFill="1" applyBorder="1" applyAlignment="1">
      <alignment horizontal="right" vertical="center"/>
    </xf>
    <xf numFmtId="0" fontId="13" fillId="14" borderId="5" xfId="0" applyFont="1" applyFill="1" applyBorder="1"/>
    <xf numFmtId="0" fontId="15" fillId="14" borderId="6" xfId="0" applyFont="1" applyFill="1" applyBorder="1"/>
    <xf numFmtId="164" fontId="14" fillId="14" borderId="5" xfId="0" applyNumberFormat="1" applyFont="1" applyFill="1" applyBorder="1" applyAlignment="1">
      <alignment horizontal="right" vertical="center"/>
    </xf>
    <xf numFmtId="0" fontId="14" fillId="12" borderId="3" xfId="0" applyFont="1" applyFill="1" applyBorder="1" applyAlignment="1">
      <alignment horizontal="center" vertical="center"/>
    </xf>
    <xf numFmtId="0" fontId="14" fillId="14" borderId="3" xfId="0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center" vertical="center"/>
    </xf>
    <xf numFmtId="0" fontId="12" fillId="14" borderId="4" xfId="0" applyFont="1" applyFill="1" applyBorder="1"/>
    <xf numFmtId="0" fontId="13" fillId="14" borderId="3" xfId="0" applyFont="1" applyFill="1" applyBorder="1" applyAlignment="1">
      <alignment horizontal="right" vertical="center"/>
    </xf>
    <xf numFmtId="164" fontId="13" fillId="14" borderId="4" xfId="0" applyNumberFormat="1" applyFont="1" applyFill="1" applyBorder="1" applyAlignment="1">
      <alignment horizontal="right" vertical="center"/>
    </xf>
    <xf numFmtId="164" fontId="14" fillId="13" borderId="4" xfId="0" applyNumberFormat="1" applyFont="1" applyFill="1" applyBorder="1" applyAlignment="1">
      <alignment horizontal="right" vertical="center"/>
    </xf>
    <xf numFmtId="0" fontId="13" fillId="14" borderId="3" xfId="0" applyFont="1" applyFill="1" applyBorder="1"/>
    <xf numFmtId="0" fontId="15" fillId="14" borderId="4" xfId="0" applyFont="1" applyFill="1" applyBorder="1"/>
    <xf numFmtId="164" fontId="14" fillId="14" borderId="3" xfId="0" applyNumberFormat="1" applyFont="1" applyFill="1" applyBorder="1" applyAlignment="1">
      <alignment horizontal="right" vertical="center"/>
    </xf>
    <xf numFmtId="2" fontId="14" fillId="12" borderId="3" xfId="0" applyNumberFormat="1" applyFont="1" applyFill="1" applyBorder="1" applyAlignment="1">
      <alignment horizontal="right" vertical="center"/>
    </xf>
    <xf numFmtId="164" fontId="12" fillId="12" borderId="3" xfId="0" applyNumberFormat="1" applyFont="1" applyFill="1" applyBorder="1" applyAlignment="1">
      <alignment horizontal="right" vertical="center"/>
    </xf>
    <xf numFmtId="164" fontId="16" fillId="12" borderId="4" xfId="0" applyNumberFormat="1" applyFont="1" applyFill="1" applyBorder="1" applyAlignment="1">
      <alignment horizontal="right" vertical="center"/>
    </xf>
    <xf numFmtId="3" fontId="14" fillId="12" borderId="3" xfId="0" applyNumberFormat="1" applyFont="1" applyFill="1" applyBorder="1" applyAlignment="1">
      <alignment horizontal="right" vertical="center"/>
    </xf>
    <xf numFmtId="164" fontId="17" fillId="5" borderId="4" xfId="0" applyNumberFormat="1" applyFont="1" applyFill="1" applyBorder="1" applyAlignment="1">
      <alignment horizontal="right" vertical="center"/>
    </xf>
    <xf numFmtId="164" fontId="18" fillId="15" borderId="4" xfId="0" applyNumberFormat="1" applyFont="1" applyFill="1" applyBorder="1" applyAlignment="1">
      <alignment horizontal="right" vertical="center"/>
    </xf>
    <xf numFmtId="0" fontId="11" fillId="14" borderId="3" xfId="0" applyFont="1" applyFill="1" applyBorder="1" applyAlignment="1">
      <alignment horizontal="center" vertical="center"/>
    </xf>
    <xf numFmtId="2" fontId="14" fillId="14" borderId="3" xfId="0" applyNumberFormat="1" applyFont="1" applyFill="1" applyBorder="1" applyAlignment="1">
      <alignment horizontal="right" vertical="center"/>
    </xf>
    <xf numFmtId="164" fontId="12" fillId="14" borderId="3" xfId="0" applyNumberFormat="1" applyFont="1" applyFill="1" applyBorder="1" applyAlignment="1">
      <alignment horizontal="right" vertical="center"/>
    </xf>
    <xf numFmtId="164" fontId="16" fillId="14" borderId="4" xfId="0" applyNumberFormat="1" applyFont="1" applyFill="1" applyBorder="1" applyAlignment="1">
      <alignment horizontal="right" vertical="center"/>
    </xf>
    <xf numFmtId="3" fontId="14" fillId="14" borderId="3" xfId="0" applyNumberFormat="1" applyFont="1" applyFill="1" applyBorder="1" applyAlignment="1">
      <alignment horizontal="right" vertical="center"/>
    </xf>
    <xf numFmtId="164" fontId="17" fillId="16" borderId="4" xfId="0" applyNumberFormat="1" applyFont="1" applyFill="1" applyBorder="1" applyAlignment="1">
      <alignment horizontal="right" vertical="center"/>
    </xf>
    <xf numFmtId="164" fontId="18" fillId="17" borderId="4" xfId="0" applyNumberFormat="1" applyFont="1" applyFill="1" applyBorder="1" applyAlignment="1">
      <alignment horizontal="right" vertical="center"/>
    </xf>
    <xf numFmtId="0" fontId="11" fillId="12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2" borderId="6" xfId="0" applyFont="1" applyFill="1" applyBorder="1"/>
    <xf numFmtId="2" fontId="14" fillId="12" borderId="5" xfId="0" applyNumberFormat="1" applyFont="1" applyFill="1" applyBorder="1" applyAlignment="1">
      <alignment horizontal="right" vertical="center"/>
    </xf>
    <xf numFmtId="164" fontId="12" fillId="12" borderId="5" xfId="0" applyNumberFormat="1" applyFont="1" applyFill="1" applyBorder="1" applyAlignment="1">
      <alignment horizontal="right" vertical="center"/>
    </xf>
    <xf numFmtId="164" fontId="16" fillId="12" borderId="6" xfId="0" applyNumberFormat="1" applyFont="1" applyFill="1" applyBorder="1" applyAlignment="1">
      <alignment horizontal="right" vertical="center"/>
    </xf>
    <xf numFmtId="0" fontId="13" fillId="12" borderId="5" xfId="0" applyFont="1" applyFill="1" applyBorder="1" applyAlignment="1">
      <alignment horizontal="right" vertical="center"/>
    </xf>
    <xf numFmtId="164" fontId="13" fillId="12" borderId="6" xfId="0" applyNumberFormat="1" applyFont="1" applyFill="1" applyBorder="1" applyAlignment="1">
      <alignment horizontal="right" vertical="center"/>
    </xf>
    <xf numFmtId="164" fontId="14" fillId="4" borderId="6" xfId="0" applyNumberFormat="1" applyFont="1" applyFill="1" applyBorder="1" applyAlignment="1">
      <alignment horizontal="right" vertical="center"/>
    </xf>
    <xf numFmtId="3" fontId="14" fillId="12" borderId="5" xfId="0" applyNumberFormat="1" applyFont="1" applyFill="1" applyBorder="1" applyAlignment="1">
      <alignment horizontal="right" vertical="center"/>
    </xf>
    <xf numFmtId="164" fontId="17" fillId="5" borderId="6" xfId="0" applyNumberFormat="1" applyFont="1" applyFill="1" applyBorder="1" applyAlignment="1">
      <alignment horizontal="right" vertical="center"/>
    </xf>
    <xf numFmtId="0" fontId="13" fillId="12" borderId="5" xfId="0" applyFont="1" applyFill="1" applyBorder="1"/>
    <xf numFmtId="0" fontId="15" fillId="12" borderId="6" xfId="0" applyFont="1" applyFill="1" applyBorder="1"/>
    <xf numFmtId="164" fontId="18" fillId="15" borderId="6" xfId="0" applyNumberFormat="1" applyFont="1" applyFill="1" applyBorder="1" applyAlignment="1">
      <alignment horizontal="right" vertical="center"/>
    </xf>
    <xf numFmtId="164" fontId="14" fillId="12" borderId="5" xfId="0" applyNumberFormat="1" applyFont="1" applyFill="1" applyBorder="1" applyAlignment="1">
      <alignment horizontal="right" vertical="center"/>
    </xf>
    <xf numFmtId="2" fontId="14" fillId="14" borderId="5" xfId="0" applyNumberFormat="1" applyFont="1" applyFill="1" applyBorder="1" applyAlignment="1">
      <alignment horizontal="right" vertical="center"/>
    </xf>
    <xf numFmtId="164" fontId="12" fillId="14" borderId="5" xfId="0" applyNumberFormat="1" applyFont="1" applyFill="1" applyBorder="1" applyAlignment="1">
      <alignment horizontal="right" vertical="center"/>
    </xf>
    <xf numFmtId="164" fontId="16" fillId="14" borderId="6" xfId="0" applyNumberFormat="1" applyFont="1" applyFill="1" applyBorder="1" applyAlignment="1">
      <alignment horizontal="right" vertical="center"/>
    </xf>
    <xf numFmtId="3" fontId="14" fillId="14" borderId="5" xfId="0" applyNumberFormat="1" applyFont="1" applyFill="1" applyBorder="1" applyAlignment="1">
      <alignment horizontal="right" vertical="center"/>
    </xf>
    <xf numFmtId="164" fontId="17" fillId="16" borderId="6" xfId="0" applyNumberFormat="1" applyFont="1" applyFill="1" applyBorder="1" applyAlignment="1">
      <alignment horizontal="right" vertical="center"/>
    </xf>
    <xf numFmtId="164" fontId="18" fillId="17" borderId="6" xfId="0" applyNumberFormat="1" applyFont="1" applyFill="1" applyBorder="1" applyAlignment="1">
      <alignment horizontal="right" vertical="center"/>
    </xf>
    <xf numFmtId="0" fontId="14" fillId="14" borderId="3" xfId="0" applyFont="1" applyFill="1" applyBorder="1"/>
    <xf numFmtId="0" fontId="14" fillId="12" borderId="3" xfId="0" applyFont="1" applyFill="1" applyBorder="1"/>
    <xf numFmtId="165" fontId="19" fillId="2" borderId="7" xfId="0" applyNumberFormat="1" applyFont="1" applyFill="1" applyBorder="1" applyAlignment="1">
      <alignment horizontal="right" vertical="center"/>
    </xf>
    <xf numFmtId="0" fontId="19" fillId="2" borderId="7" xfId="0" applyFont="1" applyFill="1" applyBorder="1" applyAlignment="1">
      <alignment horizontal="center" vertical="center"/>
    </xf>
    <xf numFmtId="164" fontId="20" fillId="2" borderId="8" xfId="0" applyNumberFormat="1" applyFont="1" applyFill="1" applyBorder="1" applyAlignment="1">
      <alignment horizontal="right" vertical="center"/>
    </xf>
    <xf numFmtId="164" fontId="21" fillId="8" borderId="8" xfId="0" applyNumberFormat="1" applyFont="1" applyFill="1" applyBorder="1" applyAlignment="1">
      <alignment horizontal="right" vertical="center"/>
    </xf>
    <xf numFmtId="166" fontId="19" fillId="2" borderId="7" xfId="0" applyNumberFormat="1" applyFont="1" applyFill="1" applyBorder="1" applyAlignment="1">
      <alignment horizontal="right" vertical="center"/>
    </xf>
    <xf numFmtId="164" fontId="22" fillId="2" borderId="8" xfId="0" applyNumberFormat="1" applyFont="1" applyFill="1" applyBorder="1" applyAlignment="1">
      <alignment horizontal="right" vertical="center"/>
    </xf>
    <xf numFmtId="0" fontId="19" fillId="2" borderId="8" xfId="0" applyFont="1" applyFill="1" applyBorder="1" applyAlignment="1">
      <alignment horizontal="center" vertical="center"/>
    </xf>
    <xf numFmtId="164" fontId="23" fillId="2" borderId="8" xfId="0" applyNumberFormat="1" applyFont="1" applyFill="1" applyBorder="1" applyAlignment="1">
      <alignment horizontal="right" vertical="center"/>
    </xf>
    <xf numFmtId="164" fontId="20" fillId="2" borderId="7" xfId="0" applyNumberFormat="1" applyFont="1" applyFill="1" applyBorder="1" applyAlignment="1">
      <alignment horizontal="right" vertical="center"/>
    </xf>
    <xf numFmtId="167" fontId="15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64" fontId="15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8" fontId="15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 vertical="center"/>
    </xf>
    <xf numFmtId="164" fontId="24" fillId="5" borderId="0" xfId="0" applyNumberFormat="1" applyFont="1" applyFill="1" applyAlignment="1">
      <alignment horizontal="right" vertical="center"/>
    </xf>
    <xf numFmtId="0" fontId="12" fillId="12" borderId="3" xfId="0" applyFont="1" applyFill="1" applyBorder="1"/>
    <xf numFmtId="0" fontId="0" fillId="12" borderId="3" xfId="0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12" borderId="3" xfId="0" applyFont="1" applyFill="1" applyBorder="1"/>
    <xf numFmtId="0" fontId="12" fillId="14" borderId="3" xfId="0" applyFont="1" applyFill="1" applyBorder="1"/>
    <xf numFmtId="0" fontId="0" fillId="14" borderId="3" xfId="0" applyFill="1" applyBorder="1" applyAlignment="1">
      <alignment horizontal="center" vertical="center"/>
    </xf>
    <xf numFmtId="0" fontId="15" fillId="14" borderId="3" xfId="0" applyFont="1" applyFill="1" applyBorder="1"/>
    <xf numFmtId="165" fontId="14" fillId="14" borderId="3" xfId="0" applyNumberFormat="1" applyFont="1" applyFill="1" applyBorder="1" applyAlignment="1">
      <alignment horizontal="right" vertical="center"/>
    </xf>
    <xf numFmtId="169" fontId="14" fillId="14" borderId="3" xfId="0" applyNumberFormat="1" applyFont="1" applyFill="1" applyBorder="1" applyAlignment="1">
      <alignment horizontal="right" vertical="center"/>
    </xf>
    <xf numFmtId="165" fontId="14" fillId="12" borderId="3" xfId="0" applyNumberFormat="1" applyFont="1" applyFill="1" applyBorder="1" applyAlignment="1">
      <alignment horizontal="right" vertical="center"/>
    </xf>
    <xf numFmtId="169" fontId="14" fillId="12" borderId="3" xfId="0" applyNumberFormat="1" applyFont="1" applyFill="1" applyBorder="1" applyAlignment="1">
      <alignment horizontal="right" vertical="center"/>
    </xf>
    <xf numFmtId="166" fontId="14" fillId="14" borderId="3" xfId="0" applyNumberFormat="1" applyFont="1" applyFill="1" applyBorder="1" applyAlignment="1">
      <alignment horizontal="right" vertical="center"/>
    </xf>
    <xf numFmtId="0" fontId="14" fillId="12" borderId="3" xfId="0" applyFont="1" applyFill="1" applyBorder="1" applyAlignment="1">
      <alignment horizontal="right" vertical="center"/>
    </xf>
    <xf numFmtId="169" fontId="19" fillId="2" borderId="7" xfId="0" applyNumberFormat="1" applyFont="1" applyFill="1" applyBorder="1" applyAlignment="1">
      <alignment horizontal="right" vertical="center"/>
    </xf>
    <xf numFmtId="0" fontId="19" fillId="2" borderId="7" xfId="0" applyFont="1" applyFill="1" applyBorder="1"/>
    <xf numFmtId="0" fontId="10" fillId="3" borderId="2" xfId="0" applyFont="1" applyFill="1" applyBorder="1"/>
    <xf numFmtId="164" fontId="16" fillId="4" borderId="3" xfId="0" applyNumberFormat="1" applyFont="1" applyFill="1" applyBorder="1" applyAlignment="1">
      <alignment horizontal="right" vertical="center"/>
    </xf>
    <xf numFmtId="169" fontId="14" fillId="4" borderId="3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 indent="1"/>
    </xf>
    <xf numFmtId="0" fontId="0" fillId="0" borderId="0" xfId="0"/>
    <xf numFmtId="0" fontId="9" fillId="2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15" fillId="0" borderId="0" xfId="0" applyFont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7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19" fillId="2" borderId="7" xfId="0" applyFont="1" applyFill="1" applyBorder="1" applyAlignment="1">
      <alignment horizontal="right" vertical="center" indent="1"/>
    </xf>
    <xf numFmtId="0" fontId="0" fillId="0" borderId="7" xfId="0" applyBorder="1"/>
    <xf numFmtId="0" fontId="0" fillId="0" borderId="8" xfId="0" applyBorder="1"/>
    <xf numFmtId="0" fontId="9" fillId="7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12" fillId="14" borderId="3" xfId="0" applyFont="1" applyFill="1" applyBorder="1"/>
    <xf numFmtId="0" fontId="0" fillId="14" borderId="3" xfId="0" applyFill="1" applyBorder="1"/>
    <xf numFmtId="0" fontId="14" fillId="0" borderId="3" xfId="0" applyFont="1" applyBorder="1"/>
    <xf numFmtId="0" fontId="0" fillId="0" borderId="3" xfId="0" applyBorder="1"/>
    <xf numFmtId="0" fontId="12" fillId="0" borderId="3" xfId="0" applyFont="1" applyBorder="1"/>
    <xf numFmtId="0" fontId="14" fillId="4" borderId="3" xfId="0" applyFont="1" applyFill="1" applyBorder="1" applyAlignment="1">
      <alignment horizontal="right" vertical="center" indent="1"/>
    </xf>
    <xf numFmtId="0" fontId="19" fillId="2" borderId="0" xfId="0" applyFont="1" applyFill="1" applyAlignment="1">
      <alignment horizontal="left" vertical="center" indent="1"/>
    </xf>
    <xf numFmtId="0" fontId="10" fillId="3" borderId="2" xfId="0" applyFont="1" applyFill="1" applyBorder="1"/>
    <xf numFmtId="0" fontId="0" fillId="0" borderId="2" xfId="0" applyBorder="1"/>
    <xf numFmtId="0" fontId="19" fillId="6" borderId="0" xfId="0" applyFont="1" applyFill="1" applyAlignment="1">
      <alignment horizontal="left" vertical="center" indent="1"/>
    </xf>
    <xf numFmtId="0" fontId="12" fillId="12" borderId="3" xfId="0" applyFont="1" applyFill="1" applyBorder="1"/>
    <xf numFmtId="0" fontId="0" fillId="12" borderId="3" xfId="0" applyFill="1" applyBorder="1"/>
    <xf numFmtId="0" fontId="15" fillId="4" borderId="3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workbookViewId="0">
      <pane xSplit="5" ySplit="9" topLeftCell="P372" activePane="bottomRight" state="frozen"/>
      <selection pane="topRight"/>
      <selection pane="bottomLeft"/>
      <selection pane="bottomRight" activeCell="U372" sqref="U372"/>
    </sheetView>
  </sheetViews>
  <sheetFormatPr defaultRowHeight="15" x14ac:dyDescent="0.25"/>
  <cols>
    <col min="1" max="1" width="5.140625" bestFit="1" customWidth="1"/>
    <col min="2" max="2" width="11" bestFit="1" customWidth="1"/>
    <col min="3" max="3" width="10.28515625" bestFit="1" customWidth="1"/>
    <col min="4" max="4" width="17.42578125" bestFit="1" customWidth="1"/>
    <col min="5" max="5" width="74.42578125" bestFit="1" customWidth="1"/>
    <col min="6" max="6" width="12.5703125" bestFit="1" customWidth="1"/>
    <col min="7" max="7" width="11.42578125" bestFit="1" customWidth="1"/>
    <col min="8" max="8" width="15.85546875" bestFit="1" customWidth="1"/>
    <col min="9" max="9" width="11.5703125" bestFit="1" customWidth="1"/>
    <col min="10" max="10" width="11.42578125" bestFit="1" customWidth="1"/>
    <col min="11" max="11" width="14.7109375" bestFit="1" customWidth="1"/>
    <col min="12" max="12" width="19.7109375" bestFit="1" customWidth="1"/>
    <col min="13" max="13" width="9.7109375" bestFit="1" customWidth="1"/>
    <col min="14" max="14" width="11.42578125" bestFit="1" customWidth="1"/>
    <col min="15" max="15" width="14.28515625" bestFit="1" customWidth="1"/>
    <col min="16" max="16" width="23.5703125" bestFit="1" customWidth="1"/>
    <col min="17" max="17" width="65.42578125" bestFit="1" customWidth="1"/>
    <col min="18" max="19" width="18.85546875" bestFit="1" customWidth="1"/>
  </cols>
  <sheetData>
    <row r="1" spans="1:19" ht="27.95" customHeight="1" x14ac:dyDescent="0.25">
      <c r="A1" s="112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</row>
    <row r="2" spans="1:19" ht="18" customHeight="1" x14ac:dyDescent="0.25">
      <c r="A2" s="105" t="s">
        <v>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</row>
    <row r="3" spans="1:19" ht="18" customHeight="1" x14ac:dyDescent="0.25">
      <c r="A3" s="118" t="s">
        <v>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</row>
    <row r="4" spans="1:19" ht="8.1" customHeight="1" x14ac:dyDescent="0.25"/>
    <row r="5" spans="1:19" ht="18" customHeight="1" x14ac:dyDescent="0.25">
      <c r="A5" s="114" t="s">
        <v>3</v>
      </c>
      <c r="B5" s="110"/>
      <c r="C5" s="110"/>
      <c r="D5" s="114" t="s">
        <v>4</v>
      </c>
      <c r="E5" s="110"/>
      <c r="F5" s="110"/>
      <c r="G5" s="110"/>
      <c r="H5" s="114" t="s">
        <v>5</v>
      </c>
      <c r="I5" s="110"/>
      <c r="J5" s="110"/>
      <c r="K5" s="110"/>
      <c r="L5" s="114" t="s">
        <v>6</v>
      </c>
      <c r="M5" s="110"/>
      <c r="N5" s="110"/>
      <c r="O5" s="110"/>
      <c r="P5" s="114" t="s">
        <v>7</v>
      </c>
      <c r="Q5" s="110"/>
      <c r="R5" s="110"/>
      <c r="S5" s="110"/>
    </row>
    <row r="6" spans="1:19" ht="26.1" customHeight="1" x14ac:dyDescent="0.25">
      <c r="A6" s="115">
        <f>R41</f>
        <v>2790101.666666667</v>
      </c>
      <c r="B6" s="110"/>
      <c r="C6" s="110"/>
      <c r="D6" s="109">
        <f>H41</f>
        <v>1046350</v>
      </c>
      <c r="E6" s="110"/>
      <c r="F6" s="110"/>
      <c r="G6" s="110"/>
      <c r="H6" s="109">
        <f>K41</f>
        <v>901751.66666666674</v>
      </c>
      <c r="I6" s="110"/>
      <c r="J6" s="110"/>
      <c r="K6" s="110"/>
      <c r="L6" s="125">
        <f>O41</f>
        <v>842000</v>
      </c>
      <c r="M6" s="110"/>
      <c r="N6" s="110"/>
      <c r="O6" s="110"/>
      <c r="P6" s="113" t="s">
        <v>8</v>
      </c>
      <c r="Q6" s="110"/>
      <c r="R6" s="110"/>
      <c r="S6" s="110"/>
    </row>
    <row r="7" spans="1:19" ht="15.95" customHeight="1" x14ac:dyDescent="0.25">
      <c r="A7" s="117" t="s">
        <v>9</v>
      </c>
      <c r="B7" s="110"/>
      <c r="C7" s="110"/>
      <c r="D7" s="117" t="s">
        <v>10</v>
      </c>
      <c r="E7" s="110"/>
      <c r="F7" s="110"/>
      <c r="G7" s="110"/>
      <c r="H7" s="117" t="s">
        <v>11</v>
      </c>
      <c r="I7" s="110"/>
      <c r="J7" s="110"/>
      <c r="K7" s="110"/>
      <c r="L7" s="117" t="s">
        <v>12</v>
      </c>
      <c r="M7" s="110"/>
      <c r="N7" s="110"/>
      <c r="O7" s="110"/>
      <c r="P7" s="117" t="s">
        <v>13</v>
      </c>
      <c r="Q7" s="110"/>
      <c r="R7" s="110"/>
      <c r="S7" s="110"/>
    </row>
    <row r="8" spans="1:19" ht="20.100000000000001" customHeight="1" x14ac:dyDescent="0.25">
      <c r="A8" s="107" t="s">
        <v>14</v>
      </c>
      <c r="B8" s="106"/>
      <c r="C8" s="106"/>
      <c r="D8" s="106"/>
      <c r="E8" s="106"/>
      <c r="F8" s="124" t="s">
        <v>15</v>
      </c>
      <c r="G8" s="106"/>
      <c r="H8" s="106"/>
      <c r="I8" s="122" t="s">
        <v>16</v>
      </c>
      <c r="J8" s="106"/>
      <c r="K8" s="106"/>
      <c r="L8" s="2" t="s">
        <v>17</v>
      </c>
      <c r="M8" s="123" t="s">
        <v>18</v>
      </c>
      <c r="N8" s="106"/>
      <c r="O8" s="106"/>
      <c r="P8" s="1" t="s">
        <v>19</v>
      </c>
      <c r="Q8" s="3" t="s">
        <v>20</v>
      </c>
      <c r="R8" s="107" t="s">
        <v>21</v>
      </c>
      <c r="S8" s="106"/>
    </row>
    <row r="9" spans="1:19" ht="24" customHeight="1" x14ac:dyDescent="0.25">
      <c r="A9" s="4" t="s">
        <v>22</v>
      </c>
      <c r="B9" s="4" t="s">
        <v>23</v>
      </c>
      <c r="C9" s="4" t="s">
        <v>24</v>
      </c>
      <c r="D9" s="4" t="s">
        <v>25</v>
      </c>
      <c r="E9" s="5" t="s">
        <v>26</v>
      </c>
      <c r="F9" s="6" t="s">
        <v>27</v>
      </c>
      <c r="G9" s="6" t="s">
        <v>28</v>
      </c>
      <c r="H9" s="6" t="s">
        <v>29</v>
      </c>
      <c r="I9" s="6" t="s">
        <v>30</v>
      </c>
      <c r="J9" s="6" t="s">
        <v>28</v>
      </c>
      <c r="K9" s="6" t="s">
        <v>31</v>
      </c>
      <c r="L9" s="6" t="s">
        <v>32</v>
      </c>
      <c r="M9" s="6" t="s">
        <v>33</v>
      </c>
      <c r="N9" s="6" t="s">
        <v>34</v>
      </c>
      <c r="O9" s="6" t="s">
        <v>35</v>
      </c>
      <c r="P9" s="5" t="s">
        <v>36</v>
      </c>
      <c r="Q9" s="5" t="s">
        <v>37</v>
      </c>
      <c r="R9" s="6" t="s">
        <v>38</v>
      </c>
      <c r="S9" s="6" t="s">
        <v>39</v>
      </c>
    </row>
    <row r="10" spans="1:19" ht="23.1" customHeight="1" x14ac:dyDescent="0.25">
      <c r="A10" s="7">
        <v>1</v>
      </c>
      <c r="B10" s="8" t="s">
        <v>40</v>
      </c>
      <c r="C10" s="7" t="s">
        <v>41</v>
      </c>
      <c r="D10" s="8" t="s">
        <v>42</v>
      </c>
      <c r="E10" s="9" t="s">
        <v>43</v>
      </c>
      <c r="F10" s="10" t="s">
        <v>44</v>
      </c>
      <c r="G10" s="10" t="s">
        <v>44</v>
      </c>
      <c r="H10" s="11">
        <v>0</v>
      </c>
      <c r="I10" s="10" t="s">
        <v>44</v>
      </c>
      <c r="J10" s="10" t="s">
        <v>44</v>
      </c>
      <c r="K10" s="11">
        <v>0</v>
      </c>
      <c r="L10" s="12">
        <f t="shared" ref="L10:L40" si="0">H10+K10</f>
        <v>0</v>
      </c>
      <c r="M10" s="10" t="s">
        <v>44</v>
      </c>
      <c r="N10" s="10" t="s">
        <v>44</v>
      </c>
      <c r="O10" s="11">
        <v>0</v>
      </c>
      <c r="P10" s="13" t="s">
        <v>44</v>
      </c>
      <c r="Q10" s="14" t="s">
        <v>45</v>
      </c>
      <c r="R10" s="11">
        <f t="shared" ref="R10:R40" si="1">L10+O10</f>
        <v>0</v>
      </c>
      <c r="S10" s="15">
        <f>R10</f>
        <v>0</v>
      </c>
    </row>
    <row r="11" spans="1:19" ht="23.1" customHeight="1" x14ac:dyDescent="0.25">
      <c r="A11" s="16">
        <v>2</v>
      </c>
      <c r="B11" s="17" t="s">
        <v>46</v>
      </c>
      <c r="C11" s="16" t="s">
        <v>47</v>
      </c>
      <c r="D11" s="17" t="s">
        <v>48</v>
      </c>
      <c r="E11" s="18" t="s">
        <v>49</v>
      </c>
      <c r="F11" s="19" t="s">
        <v>44</v>
      </c>
      <c r="G11" s="19" t="s">
        <v>44</v>
      </c>
      <c r="H11" s="20">
        <v>0</v>
      </c>
      <c r="I11" s="19" t="s">
        <v>44</v>
      </c>
      <c r="J11" s="19" t="s">
        <v>44</v>
      </c>
      <c r="K11" s="20">
        <v>0</v>
      </c>
      <c r="L11" s="21">
        <f t="shared" si="0"/>
        <v>0</v>
      </c>
      <c r="M11" s="19" t="s">
        <v>44</v>
      </c>
      <c r="N11" s="19" t="s">
        <v>44</v>
      </c>
      <c r="O11" s="20">
        <v>0</v>
      </c>
      <c r="P11" s="22" t="s">
        <v>44</v>
      </c>
      <c r="Q11" s="23" t="s">
        <v>50</v>
      </c>
      <c r="R11" s="20">
        <f t="shared" si="1"/>
        <v>0</v>
      </c>
      <c r="S11" s="24">
        <f t="shared" ref="S11:S40" si="2">S10+R11</f>
        <v>0</v>
      </c>
    </row>
    <row r="12" spans="1:19" ht="23.1" customHeight="1" x14ac:dyDescent="0.25">
      <c r="A12" s="25">
        <v>3</v>
      </c>
      <c r="B12" s="8" t="s">
        <v>51</v>
      </c>
      <c r="C12" s="8" t="s">
        <v>52</v>
      </c>
      <c r="D12" s="8" t="s">
        <v>53</v>
      </c>
      <c r="E12" s="9" t="s">
        <v>54</v>
      </c>
      <c r="F12" s="10" t="s">
        <v>44</v>
      </c>
      <c r="G12" s="10" t="s">
        <v>44</v>
      </c>
      <c r="H12" s="11">
        <v>0</v>
      </c>
      <c r="I12" s="10" t="s">
        <v>44</v>
      </c>
      <c r="J12" s="10" t="s">
        <v>44</v>
      </c>
      <c r="K12" s="11">
        <v>0</v>
      </c>
      <c r="L12" s="12">
        <f t="shared" si="0"/>
        <v>0</v>
      </c>
      <c r="M12" s="10" t="s">
        <v>44</v>
      </c>
      <c r="N12" s="10" t="s">
        <v>44</v>
      </c>
      <c r="O12" s="11">
        <v>0</v>
      </c>
      <c r="P12" s="13" t="s">
        <v>44</v>
      </c>
      <c r="Q12" s="14" t="s">
        <v>55</v>
      </c>
      <c r="R12" s="11">
        <f t="shared" si="1"/>
        <v>0</v>
      </c>
      <c r="S12" s="15">
        <f t="shared" si="2"/>
        <v>0</v>
      </c>
    </row>
    <row r="13" spans="1:19" ht="23.1" customHeight="1" x14ac:dyDescent="0.25">
      <c r="A13" s="26">
        <v>4</v>
      </c>
      <c r="B13" s="27" t="s">
        <v>56</v>
      </c>
      <c r="C13" s="27" t="s">
        <v>57</v>
      </c>
      <c r="D13" s="27" t="s">
        <v>58</v>
      </c>
      <c r="E13" s="28" t="s">
        <v>59</v>
      </c>
      <c r="F13" s="29" t="s">
        <v>44</v>
      </c>
      <c r="G13" s="29" t="s">
        <v>44</v>
      </c>
      <c r="H13" s="30">
        <v>0</v>
      </c>
      <c r="I13" s="29" t="s">
        <v>44</v>
      </c>
      <c r="J13" s="29" t="s">
        <v>44</v>
      </c>
      <c r="K13" s="30">
        <v>0</v>
      </c>
      <c r="L13" s="31">
        <f t="shared" si="0"/>
        <v>0</v>
      </c>
      <c r="M13" s="29" t="s">
        <v>44</v>
      </c>
      <c r="N13" s="29" t="s">
        <v>44</v>
      </c>
      <c r="O13" s="30">
        <v>0</v>
      </c>
      <c r="P13" s="32" t="s">
        <v>44</v>
      </c>
      <c r="Q13" s="33" t="s">
        <v>60</v>
      </c>
      <c r="R13" s="30">
        <f t="shared" si="1"/>
        <v>0</v>
      </c>
      <c r="S13" s="34">
        <f t="shared" si="2"/>
        <v>0</v>
      </c>
    </row>
    <row r="14" spans="1:19" ht="23.1" customHeight="1" x14ac:dyDescent="0.25">
      <c r="A14" s="25">
        <v>5</v>
      </c>
      <c r="B14" s="8" t="s">
        <v>61</v>
      </c>
      <c r="C14" s="8" t="s">
        <v>62</v>
      </c>
      <c r="D14" s="8" t="s">
        <v>48</v>
      </c>
      <c r="E14" s="9" t="s">
        <v>63</v>
      </c>
      <c r="F14" s="10" t="s">
        <v>44</v>
      </c>
      <c r="G14" s="10" t="s">
        <v>44</v>
      </c>
      <c r="H14" s="11">
        <v>0</v>
      </c>
      <c r="I14" s="10" t="s">
        <v>44</v>
      </c>
      <c r="J14" s="10" t="s">
        <v>44</v>
      </c>
      <c r="K14" s="11">
        <v>0</v>
      </c>
      <c r="L14" s="12">
        <f t="shared" si="0"/>
        <v>0</v>
      </c>
      <c r="M14" s="10" t="s">
        <v>44</v>
      </c>
      <c r="N14" s="10" t="s">
        <v>44</v>
      </c>
      <c r="O14" s="11">
        <v>0</v>
      </c>
      <c r="P14" s="13" t="s">
        <v>44</v>
      </c>
      <c r="Q14" s="14" t="s">
        <v>64</v>
      </c>
      <c r="R14" s="11">
        <f t="shared" si="1"/>
        <v>0</v>
      </c>
      <c r="S14" s="15">
        <f t="shared" si="2"/>
        <v>0</v>
      </c>
    </row>
    <row r="15" spans="1:19" ht="23.1" customHeight="1" x14ac:dyDescent="0.25">
      <c r="A15" s="26">
        <v>6</v>
      </c>
      <c r="B15" s="27" t="s">
        <v>65</v>
      </c>
      <c r="C15" s="27" t="s">
        <v>66</v>
      </c>
      <c r="D15" s="27" t="s">
        <v>67</v>
      </c>
      <c r="E15" s="28" t="s">
        <v>68</v>
      </c>
      <c r="F15" s="29" t="s">
        <v>44</v>
      </c>
      <c r="G15" s="29" t="s">
        <v>44</v>
      </c>
      <c r="H15" s="30">
        <v>0</v>
      </c>
      <c r="I15" s="29" t="s">
        <v>44</v>
      </c>
      <c r="J15" s="29" t="s">
        <v>44</v>
      </c>
      <c r="K15" s="30">
        <v>0</v>
      </c>
      <c r="L15" s="31">
        <f t="shared" si="0"/>
        <v>0</v>
      </c>
      <c r="M15" s="29" t="s">
        <v>44</v>
      </c>
      <c r="N15" s="29" t="s">
        <v>44</v>
      </c>
      <c r="O15" s="30">
        <v>0</v>
      </c>
      <c r="P15" s="32" t="s">
        <v>44</v>
      </c>
      <c r="Q15" s="33" t="s">
        <v>69</v>
      </c>
      <c r="R15" s="30">
        <f t="shared" si="1"/>
        <v>0</v>
      </c>
      <c r="S15" s="34">
        <f t="shared" si="2"/>
        <v>0</v>
      </c>
    </row>
    <row r="16" spans="1:19" ht="23.1" customHeight="1" x14ac:dyDescent="0.25">
      <c r="A16" s="25">
        <v>7</v>
      </c>
      <c r="B16" s="8" t="s">
        <v>70</v>
      </c>
      <c r="C16" s="8" t="s">
        <v>71</v>
      </c>
      <c r="D16" s="8" t="s">
        <v>72</v>
      </c>
      <c r="E16" s="9" t="s">
        <v>73</v>
      </c>
      <c r="F16" s="35">
        <v>9</v>
      </c>
      <c r="G16" s="36">
        <v>8500</v>
      </c>
      <c r="H16" s="37">
        <f t="shared" ref="H16:H30" si="3">F16*G16</f>
        <v>76500</v>
      </c>
      <c r="I16" s="10" t="s">
        <v>44</v>
      </c>
      <c r="J16" s="10" t="s">
        <v>44</v>
      </c>
      <c r="K16" s="11">
        <v>0</v>
      </c>
      <c r="L16" s="12">
        <f t="shared" si="0"/>
        <v>76500</v>
      </c>
      <c r="M16" s="38">
        <v>32</v>
      </c>
      <c r="N16" s="36">
        <v>1000</v>
      </c>
      <c r="O16" s="39">
        <f t="shared" ref="O16:O30" si="4">M16*N16</f>
        <v>32000</v>
      </c>
      <c r="P16" s="13" t="s">
        <v>44</v>
      </c>
      <c r="Q16" s="14" t="s">
        <v>74</v>
      </c>
      <c r="R16" s="40">
        <f t="shared" si="1"/>
        <v>108500</v>
      </c>
      <c r="S16" s="15">
        <f t="shared" si="2"/>
        <v>108500</v>
      </c>
    </row>
    <row r="17" spans="1:19" ht="23.1" customHeight="1" x14ac:dyDescent="0.25">
      <c r="A17" s="41">
        <v>8</v>
      </c>
      <c r="B17" s="27" t="s">
        <v>75</v>
      </c>
      <c r="C17" s="41" t="s">
        <v>41</v>
      </c>
      <c r="D17" s="27" t="s">
        <v>72</v>
      </c>
      <c r="E17" s="28" t="s">
        <v>76</v>
      </c>
      <c r="F17" s="42">
        <v>2.5</v>
      </c>
      <c r="G17" s="43">
        <v>8500</v>
      </c>
      <c r="H17" s="44">
        <f t="shared" si="3"/>
        <v>21250</v>
      </c>
      <c r="I17" s="29" t="s">
        <v>44</v>
      </c>
      <c r="J17" s="29" t="s">
        <v>44</v>
      </c>
      <c r="K17" s="30">
        <v>0</v>
      </c>
      <c r="L17" s="31">
        <f t="shared" si="0"/>
        <v>21250</v>
      </c>
      <c r="M17" s="45">
        <v>19</v>
      </c>
      <c r="N17" s="43">
        <v>1000</v>
      </c>
      <c r="O17" s="46">
        <f t="shared" si="4"/>
        <v>19000</v>
      </c>
      <c r="P17" s="32" t="s">
        <v>44</v>
      </c>
      <c r="Q17" s="33" t="s">
        <v>77</v>
      </c>
      <c r="R17" s="47">
        <f t="shared" si="1"/>
        <v>40250</v>
      </c>
      <c r="S17" s="34">
        <f t="shared" si="2"/>
        <v>148750</v>
      </c>
    </row>
    <row r="18" spans="1:19" ht="23.1" customHeight="1" x14ac:dyDescent="0.25">
      <c r="A18" s="48">
        <v>9</v>
      </c>
      <c r="B18" s="49" t="s">
        <v>78</v>
      </c>
      <c r="C18" s="48" t="s">
        <v>47</v>
      </c>
      <c r="D18" s="49" t="s">
        <v>72</v>
      </c>
      <c r="E18" s="50" t="s">
        <v>79</v>
      </c>
      <c r="F18" s="51">
        <v>9.5</v>
      </c>
      <c r="G18" s="52">
        <v>8500</v>
      </c>
      <c r="H18" s="53">
        <f t="shared" si="3"/>
        <v>80750</v>
      </c>
      <c r="I18" s="54" t="s">
        <v>44</v>
      </c>
      <c r="J18" s="54" t="s">
        <v>44</v>
      </c>
      <c r="K18" s="55">
        <v>0</v>
      </c>
      <c r="L18" s="56">
        <f t="shared" si="0"/>
        <v>80750</v>
      </c>
      <c r="M18" s="57">
        <v>56</v>
      </c>
      <c r="N18" s="52">
        <v>1000</v>
      </c>
      <c r="O18" s="58">
        <f t="shared" si="4"/>
        <v>56000</v>
      </c>
      <c r="P18" s="59" t="s">
        <v>44</v>
      </c>
      <c r="Q18" s="60" t="s">
        <v>80</v>
      </c>
      <c r="R18" s="61">
        <f t="shared" si="1"/>
        <v>136750</v>
      </c>
      <c r="S18" s="62">
        <f t="shared" si="2"/>
        <v>285500</v>
      </c>
    </row>
    <row r="19" spans="1:19" ht="23.1" customHeight="1" x14ac:dyDescent="0.25">
      <c r="A19" s="26">
        <v>10</v>
      </c>
      <c r="B19" s="27" t="s">
        <v>81</v>
      </c>
      <c r="C19" s="27" t="s">
        <v>52</v>
      </c>
      <c r="D19" s="27" t="s">
        <v>72</v>
      </c>
      <c r="E19" s="28" t="s">
        <v>82</v>
      </c>
      <c r="F19" s="42">
        <v>9</v>
      </c>
      <c r="G19" s="43">
        <v>8500</v>
      </c>
      <c r="H19" s="44">
        <f t="shared" si="3"/>
        <v>76500</v>
      </c>
      <c r="I19" s="29" t="s">
        <v>44</v>
      </c>
      <c r="J19" s="29" t="s">
        <v>44</v>
      </c>
      <c r="K19" s="30">
        <v>0</v>
      </c>
      <c r="L19" s="31">
        <f t="shared" si="0"/>
        <v>76500</v>
      </c>
      <c r="M19" s="45">
        <v>54</v>
      </c>
      <c r="N19" s="43">
        <v>1000</v>
      </c>
      <c r="O19" s="46">
        <f t="shared" si="4"/>
        <v>54000</v>
      </c>
      <c r="P19" s="32" t="s">
        <v>44</v>
      </c>
      <c r="Q19" s="33" t="s">
        <v>83</v>
      </c>
      <c r="R19" s="47">
        <f t="shared" si="1"/>
        <v>130500</v>
      </c>
      <c r="S19" s="34">
        <f t="shared" si="2"/>
        <v>416000</v>
      </c>
    </row>
    <row r="20" spans="1:19" ht="23.1" customHeight="1" x14ac:dyDescent="0.25">
      <c r="A20" s="25">
        <v>11</v>
      </c>
      <c r="B20" s="8" t="s">
        <v>84</v>
      </c>
      <c r="C20" s="8" t="s">
        <v>57</v>
      </c>
      <c r="D20" s="8" t="s">
        <v>72</v>
      </c>
      <c r="E20" s="9" t="s">
        <v>85</v>
      </c>
      <c r="F20" s="35">
        <v>8.75</v>
      </c>
      <c r="G20" s="36">
        <v>8500</v>
      </c>
      <c r="H20" s="37">
        <f t="shared" si="3"/>
        <v>74375</v>
      </c>
      <c r="I20" s="10" t="s">
        <v>44</v>
      </c>
      <c r="J20" s="10" t="s">
        <v>44</v>
      </c>
      <c r="K20" s="11">
        <v>0</v>
      </c>
      <c r="L20" s="12">
        <f t="shared" si="0"/>
        <v>74375</v>
      </c>
      <c r="M20" s="38">
        <v>48</v>
      </c>
      <c r="N20" s="36">
        <v>1000</v>
      </c>
      <c r="O20" s="39">
        <f t="shared" si="4"/>
        <v>48000</v>
      </c>
      <c r="P20" s="13" t="s">
        <v>44</v>
      </c>
      <c r="Q20" s="14" t="s">
        <v>86</v>
      </c>
      <c r="R20" s="40">
        <f t="shared" si="1"/>
        <v>122375</v>
      </c>
      <c r="S20" s="15">
        <f t="shared" si="2"/>
        <v>538375</v>
      </c>
    </row>
    <row r="21" spans="1:19" ht="23.1" customHeight="1" x14ac:dyDescent="0.25">
      <c r="A21" s="26">
        <v>12</v>
      </c>
      <c r="B21" s="27" t="s">
        <v>87</v>
      </c>
      <c r="C21" s="27" t="s">
        <v>62</v>
      </c>
      <c r="D21" s="27" t="s">
        <v>72</v>
      </c>
      <c r="E21" s="28" t="s">
        <v>88</v>
      </c>
      <c r="F21" s="42">
        <v>9.5</v>
      </c>
      <c r="G21" s="43">
        <v>8500</v>
      </c>
      <c r="H21" s="44">
        <f t="shared" si="3"/>
        <v>80750</v>
      </c>
      <c r="I21" s="29" t="s">
        <v>44</v>
      </c>
      <c r="J21" s="29" t="s">
        <v>44</v>
      </c>
      <c r="K21" s="30">
        <v>0</v>
      </c>
      <c r="L21" s="31">
        <f t="shared" si="0"/>
        <v>80750</v>
      </c>
      <c r="M21" s="45">
        <v>77</v>
      </c>
      <c r="N21" s="43">
        <v>1000</v>
      </c>
      <c r="O21" s="46">
        <f t="shared" si="4"/>
        <v>77000</v>
      </c>
      <c r="P21" s="32" t="s">
        <v>44</v>
      </c>
      <c r="Q21" s="33" t="s">
        <v>89</v>
      </c>
      <c r="R21" s="47">
        <f t="shared" si="1"/>
        <v>157750</v>
      </c>
      <c r="S21" s="34">
        <f t="shared" si="2"/>
        <v>696125</v>
      </c>
    </row>
    <row r="22" spans="1:19" ht="23.1" customHeight="1" x14ac:dyDescent="0.25">
      <c r="A22" s="25">
        <v>13</v>
      </c>
      <c r="B22" s="8" t="s">
        <v>90</v>
      </c>
      <c r="C22" s="8" t="s">
        <v>66</v>
      </c>
      <c r="D22" s="8" t="s">
        <v>72</v>
      </c>
      <c r="E22" s="9" t="s">
        <v>91</v>
      </c>
      <c r="F22" s="35">
        <v>9.85</v>
      </c>
      <c r="G22" s="36">
        <v>8500</v>
      </c>
      <c r="H22" s="37">
        <f t="shared" si="3"/>
        <v>83725</v>
      </c>
      <c r="I22" s="35">
        <v>6.8910256410256414</v>
      </c>
      <c r="J22" s="36">
        <v>6500</v>
      </c>
      <c r="K22" s="37">
        <f>I22*J22</f>
        <v>44791.666666666672</v>
      </c>
      <c r="L22" s="12">
        <f t="shared" si="0"/>
        <v>128516.66666666667</v>
      </c>
      <c r="M22" s="38">
        <v>82</v>
      </c>
      <c r="N22" s="36">
        <v>1000</v>
      </c>
      <c r="O22" s="39">
        <f t="shared" si="4"/>
        <v>82000</v>
      </c>
      <c r="P22" s="13" t="s">
        <v>44</v>
      </c>
      <c r="Q22" s="14" t="s">
        <v>92</v>
      </c>
      <c r="R22" s="40">
        <f t="shared" si="1"/>
        <v>210516.66666666669</v>
      </c>
      <c r="S22" s="15">
        <f t="shared" si="2"/>
        <v>906641.66666666674</v>
      </c>
    </row>
    <row r="23" spans="1:19" ht="23.1" customHeight="1" x14ac:dyDescent="0.25">
      <c r="A23" s="26">
        <v>14</v>
      </c>
      <c r="B23" s="27" t="s">
        <v>93</v>
      </c>
      <c r="C23" s="27" t="s">
        <v>71</v>
      </c>
      <c r="D23" s="27" t="s">
        <v>72</v>
      </c>
      <c r="E23" s="28" t="s">
        <v>94</v>
      </c>
      <c r="F23" s="42">
        <v>9.5</v>
      </c>
      <c r="G23" s="43">
        <v>8500</v>
      </c>
      <c r="H23" s="44">
        <f t="shared" si="3"/>
        <v>80750</v>
      </c>
      <c r="I23" s="42">
        <v>8.1666666666666661</v>
      </c>
      <c r="J23" s="43">
        <v>6500</v>
      </c>
      <c r="K23" s="44">
        <f>I23*J23</f>
        <v>53083.333333333328</v>
      </c>
      <c r="L23" s="31">
        <f t="shared" si="0"/>
        <v>133833.33333333331</v>
      </c>
      <c r="M23" s="45">
        <v>75</v>
      </c>
      <c r="N23" s="43">
        <v>1000</v>
      </c>
      <c r="O23" s="46">
        <f t="shared" si="4"/>
        <v>75000</v>
      </c>
      <c r="P23" s="32" t="s">
        <v>44</v>
      </c>
      <c r="Q23" s="33" t="s">
        <v>95</v>
      </c>
      <c r="R23" s="47">
        <f t="shared" si="1"/>
        <v>208833.33333333331</v>
      </c>
      <c r="S23" s="34">
        <f t="shared" si="2"/>
        <v>1115475</v>
      </c>
    </row>
    <row r="24" spans="1:19" ht="23.1" customHeight="1" x14ac:dyDescent="0.25">
      <c r="A24" s="7">
        <v>15</v>
      </c>
      <c r="B24" s="8" t="s">
        <v>96</v>
      </c>
      <c r="C24" s="7" t="s">
        <v>41</v>
      </c>
      <c r="D24" s="8" t="s">
        <v>72</v>
      </c>
      <c r="E24" s="9" t="s">
        <v>97</v>
      </c>
      <c r="F24" s="35">
        <v>6.5</v>
      </c>
      <c r="G24" s="36">
        <v>8500</v>
      </c>
      <c r="H24" s="37">
        <f t="shared" si="3"/>
        <v>55250</v>
      </c>
      <c r="I24" s="35">
        <v>4.5</v>
      </c>
      <c r="J24" s="36">
        <v>6500</v>
      </c>
      <c r="K24" s="37">
        <f>I24*J24</f>
        <v>29250</v>
      </c>
      <c r="L24" s="12">
        <f t="shared" si="0"/>
        <v>84500</v>
      </c>
      <c r="M24" s="38">
        <v>26</v>
      </c>
      <c r="N24" s="36">
        <v>1000</v>
      </c>
      <c r="O24" s="39">
        <f t="shared" si="4"/>
        <v>26000</v>
      </c>
      <c r="P24" s="13" t="s">
        <v>44</v>
      </c>
      <c r="Q24" s="14" t="s">
        <v>98</v>
      </c>
      <c r="R24" s="40">
        <f t="shared" si="1"/>
        <v>110500</v>
      </c>
      <c r="S24" s="15">
        <f t="shared" si="2"/>
        <v>1225975</v>
      </c>
    </row>
    <row r="25" spans="1:19" ht="23.1" customHeight="1" x14ac:dyDescent="0.25">
      <c r="A25" s="16">
        <v>16</v>
      </c>
      <c r="B25" s="17" t="s">
        <v>99</v>
      </c>
      <c r="C25" s="16" t="s">
        <v>47</v>
      </c>
      <c r="D25" s="17" t="s">
        <v>72</v>
      </c>
      <c r="E25" s="18" t="s">
        <v>100</v>
      </c>
      <c r="F25" s="63">
        <v>7</v>
      </c>
      <c r="G25" s="64">
        <v>8500</v>
      </c>
      <c r="H25" s="65">
        <f t="shared" si="3"/>
        <v>59500</v>
      </c>
      <c r="I25" s="63">
        <v>7</v>
      </c>
      <c r="J25" s="64">
        <v>6500</v>
      </c>
      <c r="K25" s="65">
        <f>I25*J25</f>
        <v>45500</v>
      </c>
      <c r="L25" s="21">
        <f t="shared" si="0"/>
        <v>105000</v>
      </c>
      <c r="M25" s="66">
        <v>65</v>
      </c>
      <c r="N25" s="64">
        <v>1000</v>
      </c>
      <c r="O25" s="67">
        <f t="shared" si="4"/>
        <v>65000</v>
      </c>
      <c r="P25" s="22" t="s">
        <v>44</v>
      </c>
      <c r="Q25" s="23" t="s">
        <v>101</v>
      </c>
      <c r="R25" s="68">
        <f t="shared" si="1"/>
        <v>170000</v>
      </c>
      <c r="S25" s="24">
        <f t="shared" si="2"/>
        <v>1395975</v>
      </c>
    </row>
    <row r="26" spans="1:19" ht="23.1" customHeight="1" x14ac:dyDescent="0.25">
      <c r="A26" s="25">
        <v>17</v>
      </c>
      <c r="B26" s="8" t="s">
        <v>102</v>
      </c>
      <c r="C26" s="8" t="s">
        <v>52</v>
      </c>
      <c r="D26" s="8" t="s">
        <v>72</v>
      </c>
      <c r="E26" s="9" t="s">
        <v>103</v>
      </c>
      <c r="F26" s="35">
        <v>9</v>
      </c>
      <c r="G26" s="36">
        <v>8500</v>
      </c>
      <c r="H26" s="37">
        <f t="shared" si="3"/>
        <v>76500</v>
      </c>
      <c r="I26" s="10" t="s">
        <v>44</v>
      </c>
      <c r="J26" s="10" t="s">
        <v>44</v>
      </c>
      <c r="K26" s="11">
        <v>0</v>
      </c>
      <c r="L26" s="12">
        <f t="shared" si="0"/>
        <v>76500</v>
      </c>
      <c r="M26" s="38">
        <v>75</v>
      </c>
      <c r="N26" s="36">
        <v>1000</v>
      </c>
      <c r="O26" s="39">
        <f t="shared" si="4"/>
        <v>75000</v>
      </c>
      <c r="P26" s="13" t="s">
        <v>44</v>
      </c>
      <c r="Q26" s="14" t="s">
        <v>104</v>
      </c>
      <c r="R26" s="40">
        <f t="shared" si="1"/>
        <v>151500</v>
      </c>
      <c r="S26" s="15">
        <f t="shared" si="2"/>
        <v>1547475</v>
      </c>
    </row>
    <row r="27" spans="1:19" ht="23.1" customHeight="1" x14ac:dyDescent="0.25">
      <c r="A27" s="26">
        <v>18</v>
      </c>
      <c r="B27" s="27" t="s">
        <v>105</v>
      </c>
      <c r="C27" s="27" t="s">
        <v>57</v>
      </c>
      <c r="D27" s="27" t="s">
        <v>106</v>
      </c>
      <c r="E27" s="28" t="s">
        <v>107</v>
      </c>
      <c r="F27" s="42">
        <v>8.5</v>
      </c>
      <c r="G27" s="43">
        <v>8500</v>
      </c>
      <c r="H27" s="44">
        <f t="shared" si="3"/>
        <v>72250</v>
      </c>
      <c r="I27" s="42">
        <v>7.3333333333333339</v>
      </c>
      <c r="J27" s="43">
        <v>6500</v>
      </c>
      <c r="K27" s="44">
        <f t="shared" ref="K27:K40" si="5">I27*J27</f>
        <v>47666.666666666672</v>
      </c>
      <c r="L27" s="31">
        <f t="shared" si="0"/>
        <v>119916.66666666667</v>
      </c>
      <c r="M27" s="45">
        <v>79</v>
      </c>
      <c r="N27" s="43">
        <v>1000</v>
      </c>
      <c r="O27" s="46">
        <f t="shared" si="4"/>
        <v>79000</v>
      </c>
      <c r="P27" s="69" t="s">
        <v>108</v>
      </c>
      <c r="Q27" s="33" t="s">
        <v>109</v>
      </c>
      <c r="R27" s="47">
        <f t="shared" si="1"/>
        <v>198916.66666666669</v>
      </c>
      <c r="S27" s="34">
        <f t="shared" si="2"/>
        <v>1746391.6666666667</v>
      </c>
    </row>
    <row r="28" spans="1:19" ht="23.1" customHeight="1" x14ac:dyDescent="0.25">
      <c r="A28" s="25">
        <v>19</v>
      </c>
      <c r="B28" s="8" t="s">
        <v>110</v>
      </c>
      <c r="C28" s="8" t="s">
        <v>62</v>
      </c>
      <c r="D28" s="8" t="s">
        <v>48</v>
      </c>
      <c r="E28" s="9" t="s">
        <v>111</v>
      </c>
      <c r="F28" s="35">
        <v>7</v>
      </c>
      <c r="G28" s="36">
        <v>8500</v>
      </c>
      <c r="H28" s="37">
        <f t="shared" si="3"/>
        <v>59500</v>
      </c>
      <c r="I28" s="35">
        <v>8</v>
      </c>
      <c r="J28" s="36">
        <v>6500</v>
      </c>
      <c r="K28" s="37">
        <f t="shared" si="5"/>
        <v>52000</v>
      </c>
      <c r="L28" s="12">
        <f t="shared" si="0"/>
        <v>111500</v>
      </c>
      <c r="M28" s="38">
        <v>72</v>
      </c>
      <c r="N28" s="36">
        <v>1000</v>
      </c>
      <c r="O28" s="39">
        <f t="shared" si="4"/>
        <v>72000</v>
      </c>
      <c r="P28" s="70" t="s">
        <v>112</v>
      </c>
      <c r="Q28" s="14" t="s">
        <v>113</v>
      </c>
      <c r="R28" s="40">
        <f t="shared" si="1"/>
        <v>183500</v>
      </c>
      <c r="S28" s="15">
        <f t="shared" si="2"/>
        <v>1929891.6666666667</v>
      </c>
    </row>
    <row r="29" spans="1:19" ht="23.1" customHeight="1" x14ac:dyDescent="0.25">
      <c r="A29" s="26">
        <v>20</v>
      </c>
      <c r="B29" s="27" t="s">
        <v>114</v>
      </c>
      <c r="C29" s="27" t="s">
        <v>66</v>
      </c>
      <c r="D29" s="27" t="s">
        <v>48</v>
      </c>
      <c r="E29" s="28" t="s">
        <v>115</v>
      </c>
      <c r="F29" s="42">
        <v>9</v>
      </c>
      <c r="G29" s="43">
        <v>8500</v>
      </c>
      <c r="H29" s="44">
        <f t="shared" si="3"/>
        <v>76500</v>
      </c>
      <c r="I29" s="42">
        <v>8</v>
      </c>
      <c r="J29" s="43">
        <v>6500</v>
      </c>
      <c r="K29" s="44">
        <f t="shared" si="5"/>
        <v>52000</v>
      </c>
      <c r="L29" s="31">
        <f t="shared" si="0"/>
        <v>128500</v>
      </c>
      <c r="M29" s="45">
        <v>47</v>
      </c>
      <c r="N29" s="43">
        <v>1000</v>
      </c>
      <c r="O29" s="46">
        <f t="shared" si="4"/>
        <v>47000</v>
      </c>
      <c r="P29" s="32" t="s">
        <v>44</v>
      </c>
      <c r="Q29" s="33" t="s">
        <v>116</v>
      </c>
      <c r="R29" s="47">
        <f t="shared" si="1"/>
        <v>175500</v>
      </c>
      <c r="S29" s="34">
        <f t="shared" si="2"/>
        <v>2105391.666666667</v>
      </c>
    </row>
    <row r="30" spans="1:19" ht="23.1" customHeight="1" x14ac:dyDescent="0.25">
      <c r="A30" s="25">
        <v>21</v>
      </c>
      <c r="B30" s="8" t="s">
        <v>117</v>
      </c>
      <c r="C30" s="8" t="s">
        <v>71</v>
      </c>
      <c r="D30" s="8" t="s">
        <v>48</v>
      </c>
      <c r="E30" s="9" t="s">
        <v>118</v>
      </c>
      <c r="F30" s="35">
        <v>8.5</v>
      </c>
      <c r="G30" s="36">
        <v>8500</v>
      </c>
      <c r="H30" s="37">
        <f t="shared" si="3"/>
        <v>72250</v>
      </c>
      <c r="I30" s="35">
        <v>6.83</v>
      </c>
      <c r="J30" s="36">
        <v>6500</v>
      </c>
      <c r="K30" s="37">
        <f t="shared" si="5"/>
        <v>44395</v>
      </c>
      <c r="L30" s="12">
        <f t="shared" si="0"/>
        <v>116645</v>
      </c>
      <c r="M30" s="38">
        <v>35</v>
      </c>
      <c r="N30" s="36">
        <v>1000</v>
      </c>
      <c r="O30" s="39">
        <f t="shared" si="4"/>
        <v>35000</v>
      </c>
      <c r="P30" s="13" t="s">
        <v>44</v>
      </c>
      <c r="Q30" s="14" t="s">
        <v>119</v>
      </c>
      <c r="R30" s="40">
        <f t="shared" si="1"/>
        <v>151645</v>
      </c>
      <c r="S30" s="15">
        <f t="shared" si="2"/>
        <v>2257036.666666667</v>
      </c>
    </row>
    <row r="31" spans="1:19" ht="23.1" customHeight="1" x14ac:dyDescent="0.25">
      <c r="A31" s="41">
        <v>22</v>
      </c>
      <c r="B31" s="27" t="s">
        <v>120</v>
      </c>
      <c r="C31" s="41" t="s">
        <v>41</v>
      </c>
      <c r="D31" s="27" t="s">
        <v>106</v>
      </c>
      <c r="E31" s="28" t="s">
        <v>121</v>
      </c>
      <c r="F31" s="29" t="s">
        <v>44</v>
      </c>
      <c r="G31" s="29" t="s">
        <v>44</v>
      </c>
      <c r="H31" s="30">
        <v>0</v>
      </c>
      <c r="I31" s="42">
        <v>8</v>
      </c>
      <c r="J31" s="43">
        <v>6500</v>
      </c>
      <c r="K31" s="44">
        <f t="shared" si="5"/>
        <v>52000</v>
      </c>
      <c r="L31" s="31">
        <f t="shared" si="0"/>
        <v>52000</v>
      </c>
      <c r="M31" s="29" t="s">
        <v>44</v>
      </c>
      <c r="N31" s="29" t="s">
        <v>44</v>
      </c>
      <c r="O31" s="30">
        <v>0</v>
      </c>
      <c r="P31" s="69" t="s">
        <v>122</v>
      </c>
      <c r="Q31" s="33" t="s">
        <v>123</v>
      </c>
      <c r="R31" s="47">
        <f t="shared" si="1"/>
        <v>52000</v>
      </c>
      <c r="S31" s="34">
        <f t="shared" si="2"/>
        <v>2309036.666666667</v>
      </c>
    </row>
    <row r="32" spans="1:19" ht="23.1" customHeight="1" x14ac:dyDescent="0.25">
      <c r="A32" s="48">
        <v>23</v>
      </c>
      <c r="B32" s="49" t="s">
        <v>124</v>
      </c>
      <c r="C32" s="48" t="s">
        <v>47</v>
      </c>
      <c r="D32" s="49" t="s">
        <v>48</v>
      </c>
      <c r="E32" s="50" t="s">
        <v>125</v>
      </c>
      <c r="F32" s="54" t="s">
        <v>44</v>
      </c>
      <c r="G32" s="54" t="s">
        <v>44</v>
      </c>
      <c r="H32" s="55">
        <v>0</v>
      </c>
      <c r="I32" s="51">
        <v>7.5</v>
      </c>
      <c r="J32" s="52">
        <v>6500</v>
      </c>
      <c r="K32" s="53">
        <f t="shared" si="5"/>
        <v>48750</v>
      </c>
      <c r="L32" s="56">
        <f t="shared" si="0"/>
        <v>48750</v>
      </c>
      <c r="M32" s="54" t="s">
        <v>44</v>
      </c>
      <c r="N32" s="54" t="s">
        <v>44</v>
      </c>
      <c r="O32" s="55">
        <v>0</v>
      </c>
      <c r="P32" s="59" t="s">
        <v>44</v>
      </c>
      <c r="Q32" s="60" t="s">
        <v>126</v>
      </c>
      <c r="R32" s="61">
        <f t="shared" si="1"/>
        <v>48750</v>
      </c>
      <c r="S32" s="62">
        <f t="shared" si="2"/>
        <v>2357786.666666667</v>
      </c>
    </row>
    <row r="33" spans="1:19" ht="23.1" customHeight="1" x14ac:dyDescent="0.25">
      <c r="A33" s="26">
        <v>24</v>
      </c>
      <c r="B33" s="27" t="s">
        <v>127</v>
      </c>
      <c r="C33" s="27" t="s">
        <v>52</v>
      </c>
      <c r="D33" s="27" t="s">
        <v>48</v>
      </c>
      <c r="E33" s="28" t="s">
        <v>128</v>
      </c>
      <c r="F33" s="29" t="s">
        <v>44</v>
      </c>
      <c r="G33" s="29" t="s">
        <v>44</v>
      </c>
      <c r="H33" s="30">
        <v>0</v>
      </c>
      <c r="I33" s="42">
        <v>7.17</v>
      </c>
      <c r="J33" s="43">
        <v>6500</v>
      </c>
      <c r="K33" s="44">
        <f t="shared" si="5"/>
        <v>46605</v>
      </c>
      <c r="L33" s="31">
        <f t="shared" si="0"/>
        <v>46605</v>
      </c>
      <c r="M33" s="29" t="s">
        <v>44</v>
      </c>
      <c r="N33" s="29" t="s">
        <v>44</v>
      </c>
      <c r="O33" s="30">
        <v>0</v>
      </c>
      <c r="P33" s="69" t="s">
        <v>129</v>
      </c>
      <c r="Q33" s="33" t="s">
        <v>130</v>
      </c>
      <c r="R33" s="47">
        <f t="shared" si="1"/>
        <v>46605</v>
      </c>
      <c r="S33" s="34">
        <f t="shared" si="2"/>
        <v>2404391.666666667</v>
      </c>
    </row>
    <row r="34" spans="1:19" ht="23.1" customHeight="1" x14ac:dyDescent="0.25">
      <c r="A34" s="25">
        <v>25</v>
      </c>
      <c r="B34" s="8" t="s">
        <v>131</v>
      </c>
      <c r="C34" s="8" t="s">
        <v>57</v>
      </c>
      <c r="D34" s="8" t="s">
        <v>48</v>
      </c>
      <c r="E34" s="9" t="s">
        <v>132</v>
      </c>
      <c r="F34" s="10" t="s">
        <v>44</v>
      </c>
      <c r="G34" s="10" t="s">
        <v>44</v>
      </c>
      <c r="H34" s="11">
        <v>0</v>
      </c>
      <c r="I34" s="35">
        <v>8.5</v>
      </c>
      <c r="J34" s="36">
        <v>6500</v>
      </c>
      <c r="K34" s="37">
        <f t="shared" si="5"/>
        <v>55250</v>
      </c>
      <c r="L34" s="12">
        <f t="shared" si="0"/>
        <v>55250</v>
      </c>
      <c r="M34" s="10" t="s">
        <v>44</v>
      </c>
      <c r="N34" s="10" t="s">
        <v>44</v>
      </c>
      <c r="O34" s="11">
        <v>0</v>
      </c>
      <c r="P34" s="13" t="s">
        <v>44</v>
      </c>
      <c r="Q34" s="14" t="s">
        <v>133</v>
      </c>
      <c r="R34" s="40">
        <f t="shared" si="1"/>
        <v>55250</v>
      </c>
      <c r="S34" s="15">
        <f t="shared" si="2"/>
        <v>2459641.666666667</v>
      </c>
    </row>
    <row r="35" spans="1:19" ht="23.1" customHeight="1" x14ac:dyDescent="0.25">
      <c r="A35" s="26">
        <v>26</v>
      </c>
      <c r="B35" s="27" t="s">
        <v>134</v>
      </c>
      <c r="C35" s="27" t="s">
        <v>62</v>
      </c>
      <c r="D35" s="27" t="s">
        <v>48</v>
      </c>
      <c r="E35" s="28" t="s">
        <v>135</v>
      </c>
      <c r="F35" s="29" t="s">
        <v>44</v>
      </c>
      <c r="G35" s="29" t="s">
        <v>44</v>
      </c>
      <c r="H35" s="30">
        <v>0</v>
      </c>
      <c r="I35" s="42">
        <v>9</v>
      </c>
      <c r="J35" s="43">
        <v>6500</v>
      </c>
      <c r="K35" s="44">
        <f t="shared" si="5"/>
        <v>58500</v>
      </c>
      <c r="L35" s="31">
        <f t="shared" si="0"/>
        <v>58500</v>
      </c>
      <c r="M35" s="29" t="s">
        <v>44</v>
      </c>
      <c r="N35" s="29" t="s">
        <v>44</v>
      </c>
      <c r="O35" s="30">
        <v>0</v>
      </c>
      <c r="P35" s="32" t="s">
        <v>44</v>
      </c>
      <c r="Q35" s="33" t="s">
        <v>136</v>
      </c>
      <c r="R35" s="47">
        <f t="shared" si="1"/>
        <v>58500</v>
      </c>
      <c r="S35" s="34">
        <f t="shared" si="2"/>
        <v>2518141.666666667</v>
      </c>
    </row>
    <row r="36" spans="1:19" ht="23.1" customHeight="1" x14ac:dyDescent="0.25">
      <c r="A36" s="25">
        <v>27</v>
      </c>
      <c r="B36" s="8" t="s">
        <v>137</v>
      </c>
      <c r="C36" s="8" t="s">
        <v>66</v>
      </c>
      <c r="D36" s="8" t="s">
        <v>48</v>
      </c>
      <c r="E36" s="9" t="s">
        <v>138</v>
      </c>
      <c r="F36" s="10" t="s">
        <v>44</v>
      </c>
      <c r="G36" s="10" t="s">
        <v>44</v>
      </c>
      <c r="H36" s="11">
        <v>0</v>
      </c>
      <c r="I36" s="35">
        <v>10</v>
      </c>
      <c r="J36" s="36">
        <v>6500</v>
      </c>
      <c r="K36" s="37">
        <f t="shared" si="5"/>
        <v>65000</v>
      </c>
      <c r="L36" s="12">
        <f t="shared" si="0"/>
        <v>65000</v>
      </c>
      <c r="M36" s="10" t="s">
        <v>44</v>
      </c>
      <c r="N36" s="10" t="s">
        <v>44</v>
      </c>
      <c r="O36" s="11">
        <v>0</v>
      </c>
      <c r="P36" s="13" t="s">
        <v>44</v>
      </c>
      <c r="Q36" s="14" t="s">
        <v>139</v>
      </c>
      <c r="R36" s="40">
        <f t="shared" si="1"/>
        <v>65000</v>
      </c>
      <c r="S36" s="15">
        <f t="shared" si="2"/>
        <v>2583141.666666667</v>
      </c>
    </row>
    <row r="37" spans="1:19" ht="23.1" customHeight="1" x14ac:dyDescent="0.25">
      <c r="A37" s="26">
        <v>28</v>
      </c>
      <c r="B37" s="27" t="s">
        <v>140</v>
      </c>
      <c r="C37" s="27" t="s">
        <v>71</v>
      </c>
      <c r="D37" s="27" t="s">
        <v>48</v>
      </c>
      <c r="E37" s="28" t="s">
        <v>141</v>
      </c>
      <c r="F37" s="29" t="s">
        <v>44</v>
      </c>
      <c r="G37" s="29" t="s">
        <v>44</v>
      </c>
      <c r="H37" s="30">
        <v>0</v>
      </c>
      <c r="I37" s="42">
        <v>8.67</v>
      </c>
      <c r="J37" s="43">
        <v>6500</v>
      </c>
      <c r="K37" s="44">
        <f t="shared" si="5"/>
        <v>56355</v>
      </c>
      <c r="L37" s="31">
        <f t="shared" si="0"/>
        <v>56355</v>
      </c>
      <c r="M37" s="29" t="s">
        <v>44</v>
      </c>
      <c r="N37" s="29" t="s">
        <v>44</v>
      </c>
      <c r="O37" s="30">
        <v>0</v>
      </c>
      <c r="P37" s="69" t="s">
        <v>142</v>
      </c>
      <c r="Q37" s="33" t="s">
        <v>143</v>
      </c>
      <c r="R37" s="47">
        <f t="shared" si="1"/>
        <v>56355</v>
      </c>
      <c r="S37" s="34">
        <f t="shared" si="2"/>
        <v>2639496.666666667</v>
      </c>
    </row>
    <row r="38" spans="1:19" ht="23.1" customHeight="1" x14ac:dyDescent="0.25">
      <c r="A38" s="7">
        <v>29</v>
      </c>
      <c r="B38" s="8" t="s">
        <v>144</v>
      </c>
      <c r="C38" s="7" t="s">
        <v>41</v>
      </c>
      <c r="D38" s="8" t="s">
        <v>145</v>
      </c>
      <c r="E38" s="9" t="s">
        <v>146</v>
      </c>
      <c r="F38" s="10" t="s">
        <v>44</v>
      </c>
      <c r="G38" s="10" t="s">
        <v>44</v>
      </c>
      <c r="H38" s="11">
        <v>0</v>
      </c>
      <c r="I38" s="35">
        <v>5.5</v>
      </c>
      <c r="J38" s="36">
        <v>6500</v>
      </c>
      <c r="K38" s="37">
        <f t="shared" si="5"/>
        <v>35750</v>
      </c>
      <c r="L38" s="12">
        <f t="shared" si="0"/>
        <v>35750</v>
      </c>
      <c r="M38" s="10" t="s">
        <v>44</v>
      </c>
      <c r="N38" s="10" t="s">
        <v>44</v>
      </c>
      <c r="O38" s="11">
        <v>0</v>
      </c>
      <c r="P38" s="70" t="s">
        <v>147</v>
      </c>
      <c r="Q38" s="14" t="s">
        <v>148</v>
      </c>
      <c r="R38" s="40">
        <f t="shared" si="1"/>
        <v>35750</v>
      </c>
      <c r="S38" s="15">
        <f t="shared" si="2"/>
        <v>2675246.666666667</v>
      </c>
    </row>
    <row r="39" spans="1:19" ht="23.1" customHeight="1" x14ac:dyDescent="0.25">
      <c r="A39" s="16">
        <v>30</v>
      </c>
      <c r="B39" s="17" t="s">
        <v>149</v>
      </c>
      <c r="C39" s="16" t="s">
        <v>47</v>
      </c>
      <c r="D39" s="17" t="s">
        <v>48</v>
      </c>
      <c r="E39" s="18" t="s">
        <v>150</v>
      </c>
      <c r="F39" s="19" t="s">
        <v>44</v>
      </c>
      <c r="G39" s="19" t="s">
        <v>44</v>
      </c>
      <c r="H39" s="20">
        <v>0</v>
      </c>
      <c r="I39" s="63">
        <v>9</v>
      </c>
      <c r="J39" s="64">
        <v>6500</v>
      </c>
      <c r="K39" s="65">
        <f t="shared" si="5"/>
        <v>58500</v>
      </c>
      <c r="L39" s="21">
        <f t="shared" si="0"/>
        <v>58500</v>
      </c>
      <c r="M39" s="19" t="s">
        <v>44</v>
      </c>
      <c r="N39" s="19" t="s">
        <v>44</v>
      </c>
      <c r="O39" s="20">
        <v>0</v>
      </c>
      <c r="P39" s="22" t="s">
        <v>44</v>
      </c>
      <c r="Q39" s="23" t="s">
        <v>151</v>
      </c>
      <c r="R39" s="68">
        <f t="shared" si="1"/>
        <v>58500</v>
      </c>
      <c r="S39" s="24">
        <f t="shared" si="2"/>
        <v>2733746.666666667</v>
      </c>
    </row>
    <row r="40" spans="1:19" ht="23.1" customHeight="1" x14ac:dyDescent="0.25">
      <c r="A40" s="25">
        <v>31</v>
      </c>
      <c r="B40" s="8" t="s">
        <v>152</v>
      </c>
      <c r="C40" s="8" t="s">
        <v>52</v>
      </c>
      <c r="D40" s="8" t="s">
        <v>48</v>
      </c>
      <c r="E40" s="9" t="s">
        <v>153</v>
      </c>
      <c r="F40" s="10" t="s">
        <v>44</v>
      </c>
      <c r="G40" s="10" t="s">
        <v>44</v>
      </c>
      <c r="H40" s="11">
        <v>0</v>
      </c>
      <c r="I40" s="35">
        <v>8.67</v>
      </c>
      <c r="J40" s="36">
        <v>6500</v>
      </c>
      <c r="K40" s="37">
        <f t="shared" si="5"/>
        <v>56355</v>
      </c>
      <c r="L40" s="12">
        <f t="shared" si="0"/>
        <v>56355</v>
      </c>
      <c r="M40" s="10" t="s">
        <v>44</v>
      </c>
      <c r="N40" s="10" t="s">
        <v>44</v>
      </c>
      <c r="O40" s="11">
        <v>0</v>
      </c>
      <c r="P40" s="70" t="s">
        <v>154</v>
      </c>
      <c r="Q40" s="14" t="s">
        <v>155</v>
      </c>
      <c r="R40" s="40">
        <f t="shared" si="1"/>
        <v>56355</v>
      </c>
      <c r="S40" s="15">
        <f t="shared" si="2"/>
        <v>2790101.666666667</v>
      </c>
    </row>
    <row r="41" spans="1:19" ht="27.95" customHeight="1" x14ac:dyDescent="0.25">
      <c r="A41" s="119" t="s">
        <v>156</v>
      </c>
      <c r="B41" s="120"/>
      <c r="C41" s="120"/>
      <c r="D41" s="120"/>
      <c r="E41" s="121"/>
      <c r="F41" s="71">
        <f>SUM(F10:F40)</f>
        <v>123.1</v>
      </c>
      <c r="G41" s="72" t="s">
        <v>44</v>
      </c>
      <c r="H41" s="73">
        <f>SUM(H10:H40)</f>
        <v>1046350</v>
      </c>
      <c r="I41" s="71">
        <f>SUM(I10:I40)</f>
        <v>138.73102564102564</v>
      </c>
      <c r="J41" s="72" t="s">
        <v>44</v>
      </c>
      <c r="K41" s="73">
        <f>SUM(K10:K40)</f>
        <v>901751.66666666674</v>
      </c>
      <c r="L41" s="74">
        <f>SUM(L10:L40)</f>
        <v>1948101.6666666667</v>
      </c>
      <c r="M41" s="75">
        <f>SUM(M10:M40)</f>
        <v>842</v>
      </c>
      <c r="N41" s="72" t="s">
        <v>44</v>
      </c>
      <c r="O41" s="76">
        <f>SUM(O10:O40)</f>
        <v>842000</v>
      </c>
      <c r="P41" s="72" t="s">
        <v>157</v>
      </c>
      <c r="Q41" s="77" t="s">
        <v>158</v>
      </c>
      <c r="R41" s="78">
        <f>SUM(R10:R40)</f>
        <v>2790101.666666667</v>
      </c>
      <c r="S41" s="79">
        <f>S40</f>
        <v>2790101.666666667</v>
      </c>
    </row>
    <row r="42" spans="1:19" ht="21.95" customHeight="1" x14ac:dyDescent="0.25">
      <c r="A42" s="111" t="s">
        <v>159</v>
      </c>
      <c r="B42" s="106"/>
      <c r="C42" s="106"/>
      <c r="D42" s="106"/>
      <c r="E42" s="106"/>
      <c r="F42" s="80">
        <f>F41/15</f>
        <v>8.206666666666667</v>
      </c>
      <c r="G42" s="81" t="s">
        <v>44</v>
      </c>
      <c r="H42" s="82">
        <f>H41/15</f>
        <v>69756.666666666672</v>
      </c>
      <c r="I42" s="80">
        <f>I41/18</f>
        <v>7.707279202279202</v>
      </c>
      <c r="J42" s="81" t="s">
        <v>44</v>
      </c>
      <c r="K42" s="82">
        <f>K41/18</f>
        <v>50097.314814814818</v>
      </c>
      <c r="L42" s="83">
        <f>L41/25</f>
        <v>77924.066666666666</v>
      </c>
      <c r="M42" s="84">
        <f>M41/15</f>
        <v>56.133333333333333</v>
      </c>
      <c r="N42" s="81" t="s">
        <v>44</v>
      </c>
      <c r="O42" s="82">
        <f>O41/15</f>
        <v>56133.333333333336</v>
      </c>
      <c r="P42" s="116" t="s">
        <v>160</v>
      </c>
      <c r="Q42" s="106"/>
      <c r="R42" s="83">
        <f>R41/25</f>
        <v>111604.06666666668</v>
      </c>
      <c r="S42" s="85" t="s">
        <v>161</v>
      </c>
    </row>
    <row r="43" spans="1:19" ht="21.95" customHeight="1" x14ac:dyDescent="0.25">
      <c r="A43" s="111" t="s">
        <v>162</v>
      </c>
      <c r="B43" s="106"/>
      <c r="C43" s="106"/>
      <c r="D43" s="106"/>
      <c r="E43" s="106"/>
      <c r="F43" s="108" t="s">
        <v>163</v>
      </c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86">
        <f>MAX(R10:R40)</f>
        <v>210516.66666666669</v>
      </c>
      <c r="S43" s="85" t="s">
        <v>164</v>
      </c>
    </row>
  </sheetData>
  <mergeCells count="28">
    <mergeCell ref="A1:S1"/>
    <mergeCell ref="H6:K6"/>
    <mergeCell ref="P6:S6"/>
    <mergeCell ref="A8:E8"/>
    <mergeCell ref="L5:O5"/>
    <mergeCell ref="A6:C6"/>
    <mergeCell ref="D7:G7"/>
    <mergeCell ref="A3:S3"/>
    <mergeCell ref="P7:S7"/>
    <mergeCell ref="H7:K7"/>
    <mergeCell ref="A7:C7"/>
    <mergeCell ref="A5:C5"/>
    <mergeCell ref="I8:K8"/>
    <mergeCell ref="M8:O8"/>
    <mergeCell ref="L7:O7"/>
    <mergeCell ref="F8:H8"/>
    <mergeCell ref="A2:S2"/>
    <mergeCell ref="R8:S8"/>
    <mergeCell ref="F43:Q43"/>
    <mergeCell ref="D6:G6"/>
    <mergeCell ref="A42:E42"/>
    <mergeCell ref="A43:E43"/>
    <mergeCell ref="P42:Q42"/>
    <mergeCell ref="A41:E41"/>
    <mergeCell ref="L6:O6"/>
    <mergeCell ref="D5:G5"/>
    <mergeCell ref="H5:K5"/>
    <mergeCell ref="P5:S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>
      <selection sqref="A1:J1"/>
    </sheetView>
  </sheetViews>
  <sheetFormatPr defaultRowHeight="15" x14ac:dyDescent="0.25"/>
  <cols>
    <col min="1" max="1" width="26" customWidth="1"/>
    <col min="2" max="2" width="24" customWidth="1"/>
    <col min="3" max="3" width="22" customWidth="1"/>
    <col min="4" max="4" width="32" customWidth="1"/>
    <col min="5" max="5" width="42" customWidth="1"/>
    <col min="6" max="6" width="22" customWidth="1"/>
    <col min="7" max="7" width="18" customWidth="1"/>
    <col min="8" max="8" width="16" customWidth="1"/>
    <col min="9" max="9" width="24" customWidth="1"/>
    <col min="10" max="10" width="36" customWidth="1"/>
  </cols>
  <sheetData>
    <row r="1" spans="1:10" ht="27.95" customHeight="1" x14ac:dyDescent="0.25">
      <c r="A1" s="112" t="s">
        <v>165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10" ht="18" customHeight="1" x14ac:dyDescent="0.25">
      <c r="A2" s="105" t="s">
        <v>166</v>
      </c>
      <c r="B2" s="106"/>
      <c r="C2" s="106"/>
      <c r="D2" s="106"/>
      <c r="E2" s="106"/>
      <c r="F2" s="106"/>
      <c r="G2" s="106"/>
      <c r="H2" s="106"/>
      <c r="I2" s="106"/>
      <c r="J2" s="106"/>
    </row>
    <row r="3" spans="1:10" ht="18" customHeight="1" x14ac:dyDescent="0.25">
      <c r="A3" s="118" t="s">
        <v>167</v>
      </c>
      <c r="B3" s="106"/>
      <c r="C3" s="106"/>
      <c r="D3" s="106"/>
      <c r="E3" s="106"/>
      <c r="F3" s="106"/>
      <c r="G3" s="106"/>
      <c r="H3" s="106"/>
      <c r="I3" s="106"/>
      <c r="J3" s="106"/>
    </row>
    <row r="4" spans="1:10" ht="9.9499999999999993" customHeight="1" x14ac:dyDescent="0.25"/>
    <row r="5" spans="1:10" ht="24.95" customHeight="1" x14ac:dyDescent="0.25">
      <c r="A5" s="5" t="s">
        <v>168</v>
      </c>
      <c r="B5" s="5" t="s">
        <v>169</v>
      </c>
      <c r="C5" s="4" t="s">
        <v>170</v>
      </c>
      <c r="D5" s="5" t="s">
        <v>171</v>
      </c>
      <c r="E5" s="5" t="s">
        <v>172</v>
      </c>
      <c r="F5" s="4" t="s">
        <v>173</v>
      </c>
      <c r="G5" s="4" t="s">
        <v>174</v>
      </c>
      <c r="H5" s="4" t="s">
        <v>175</v>
      </c>
      <c r="I5" s="5" t="s">
        <v>176</v>
      </c>
      <c r="J5" s="5" t="s">
        <v>177</v>
      </c>
    </row>
    <row r="6" spans="1:10" ht="21.95" customHeight="1" x14ac:dyDescent="0.25">
      <c r="A6" s="70" t="s">
        <v>178</v>
      </c>
      <c r="B6" s="87" t="s">
        <v>179</v>
      </c>
      <c r="C6" s="88" t="s">
        <v>180</v>
      </c>
      <c r="D6" s="87" t="s">
        <v>181</v>
      </c>
      <c r="E6" s="87" t="s">
        <v>182</v>
      </c>
      <c r="F6" s="88" t="s">
        <v>183</v>
      </c>
      <c r="G6" s="89" t="s">
        <v>184</v>
      </c>
      <c r="H6" s="88" t="s">
        <v>72</v>
      </c>
      <c r="I6" s="87" t="s">
        <v>185</v>
      </c>
      <c r="J6" s="90" t="s">
        <v>186</v>
      </c>
    </row>
    <row r="7" spans="1:10" ht="21.95" customHeight="1" x14ac:dyDescent="0.25">
      <c r="A7" s="69" t="s">
        <v>187</v>
      </c>
      <c r="B7" s="91" t="s">
        <v>188</v>
      </c>
      <c r="C7" s="92" t="s">
        <v>189</v>
      </c>
      <c r="D7" s="91" t="s">
        <v>190</v>
      </c>
      <c r="E7" s="91" t="s">
        <v>191</v>
      </c>
      <c r="F7" s="92" t="s">
        <v>192</v>
      </c>
      <c r="G7" s="89" t="s">
        <v>193</v>
      </c>
      <c r="H7" s="92" t="s">
        <v>106</v>
      </c>
      <c r="I7" s="91" t="s">
        <v>194</v>
      </c>
      <c r="J7" s="93" t="s">
        <v>195</v>
      </c>
    </row>
    <row r="8" spans="1:10" ht="21.95" customHeight="1" x14ac:dyDescent="0.25">
      <c r="A8" s="70" t="s">
        <v>196</v>
      </c>
      <c r="B8" s="87" t="s">
        <v>197</v>
      </c>
      <c r="C8" s="88" t="s">
        <v>198</v>
      </c>
      <c r="D8" s="87" t="s">
        <v>199</v>
      </c>
      <c r="E8" s="87" t="s">
        <v>200</v>
      </c>
      <c r="F8" s="88" t="s">
        <v>201</v>
      </c>
      <c r="G8" s="89" t="s">
        <v>202</v>
      </c>
      <c r="H8" s="88" t="s">
        <v>203</v>
      </c>
      <c r="I8" s="87" t="s">
        <v>204</v>
      </c>
      <c r="J8" s="90" t="s">
        <v>205</v>
      </c>
    </row>
    <row r="9" spans="1:10" ht="21.95" customHeight="1" x14ac:dyDescent="0.25">
      <c r="A9" s="69" t="s">
        <v>206</v>
      </c>
      <c r="B9" s="91" t="s">
        <v>207</v>
      </c>
      <c r="C9" s="92" t="s">
        <v>208</v>
      </c>
      <c r="D9" s="91" t="s">
        <v>209</v>
      </c>
      <c r="E9" s="91" t="s">
        <v>210</v>
      </c>
      <c r="F9" s="92" t="s">
        <v>211</v>
      </c>
      <c r="G9" s="89" t="s">
        <v>212</v>
      </c>
      <c r="H9" s="92" t="s">
        <v>72</v>
      </c>
      <c r="I9" s="91" t="s">
        <v>213</v>
      </c>
      <c r="J9" s="93" t="s">
        <v>214</v>
      </c>
    </row>
    <row r="10" spans="1:10" ht="21.95" customHeight="1" x14ac:dyDescent="0.25">
      <c r="A10" s="70" t="s">
        <v>215</v>
      </c>
      <c r="B10" s="87" t="s">
        <v>216</v>
      </c>
      <c r="C10" s="88" t="s">
        <v>217</v>
      </c>
      <c r="D10" s="87" t="s">
        <v>218</v>
      </c>
      <c r="E10" s="87" t="s">
        <v>219</v>
      </c>
      <c r="F10" s="88" t="s">
        <v>220</v>
      </c>
      <c r="G10" s="89" t="s">
        <v>221</v>
      </c>
      <c r="H10" s="88" t="s">
        <v>145</v>
      </c>
      <c r="I10" s="87" t="s">
        <v>222</v>
      </c>
      <c r="J10" s="90" t="s">
        <v>223</v>
      </c>
    </row>
    <row r="11" spans="1:10" ht="21.95" customHeight="1" x14ac:dyDescent="0.25">
      <c r="A11" s="69" t="s">
        <v>224</v>
      </c>
      <c r="B11" s="91" t="s">
        <v>225</v>
      </c>
      <c r="C11" s="92" t="s">
        <v>226</v>
      </c>
      <c r="D11" s="91" t="s">
        <v>227</v>
      </c>
      <c r="E11" s="91" t="s">
        <v>228</v>
      </c>
      <c r="F11" s="92" t="s">
        <v>229</v>
      </c>
      <c r="G11" s="89" t="s">
        <v>230</v>
      </c>
      <c r="H11" s="92" t="s">
        <v>231</v>
      </c>
      <c r="I11" s="91" t="s">
        <v>232</v>
      </c>
      <c r="J11" s="93" t="s">
        <v>233</v>
      </c>
    </row>
    <row r="12" spans="1:10" ht="21.95" customHeight="1" x14ac:dyDescent="0.25">
      <c r="A12" s="70" t="s">
        <v>234</v>
      </c>
      <c r="B12" s="87" t="s">
        <v>235</v>
      </c>
      <c r="C12" s="88" t="s">
        <v>236</v>
      </c>
      <c r="D12" s="87" t="s">
        <v>237</v>
      </c>
      <c r="E12" s="87" t="s">
        <v>238</v>
      </c>
      <c r="F12" s="88" t="s">
        <v>239</v>
      </c>
      <c r="G12" s="89" t="s">
        <v>240</v>
      </c>
      <c r="H12" s="88" t="s">
        <v>241</v>
      </c>
      <c r="I12" s="87" t="s">
        <v>242</v>
      </c>
      <c r="J12" s="90" t="s">
        <v>243</v>
      </c>
    </row>
    <row r="13" spans="1:10" ht="21.95" customHeight="1" x14ac:dyDescent="0.25">
      <c r="A13" s="69" t="s">
        <v>244</v>
      </c>
      <c r="B13" s="91" t="s">
        <v>245</v>
      </c>
      <c r="C13" s="92" t="s">
        <v>246</v>
      </c>
      <c r="D13" s="91" t="s">
        <v>247</v>
      </c>
      <c r="E13" s="91" t="s">
        <v>248</v>
      </c>
      <c r="F13" s="92" t="s">
        <v>249</v>
      </c>
      <c r="G13" s="89" t="s">
        <v>250</v>
      </c>
      <c r="H13" s="92" t="s">
        <v>58</v>
      </c>
      <c r="I13" s="91" t="s">
        <v>251</v>
      </c>
      <c r="J13" s="93" t="s">
        <v>252</v>
      </c>
    </row>
    <row r="14" spans="1:10" ht="21.95" customHeight="1" x14ac:dyDescent="0.25">
      <c r="A14" s="70" t="s">
        <v>253</v>
      </c>
      <c r="B14" s="87" t="s">
        <v>254</v>
      </c>
      <c r="C14" s="88" t="s">
        <v>255</v>
      </c>
      <c r="D14" s="87" t="s">
        <v>256</v>
      </c>
      <c r="E14" s="87" t="s">
        <v>257</v>
      </c>
      <c r="F14" s="88" t="s">
        <v>258</v>
      </c>
      <c r="G14" s="89" t="s">
        <v>259</v>
      </c>
      <c r="H14" s="88" t="s">
        <v>260</v>
      </c>
      <c r="I14" s="87" t="s">
        <v>261</v>
      </c>
      <c r="J14" s="90" t="s">
        <v>262</v>
      </c>
    </row>
    <row r="15" spans="1:10" ht="21.95" customHeight="1" x14ac:dyDescent="0.25">
      <c r="A15" s="69" t="s">
        <v>263</v>
      </c>
      <c r="B15" s="91" t="s">
        <v>264</v>
      </c>
      <c r="C15" s="92" t="s">
        <v>265</v>
      </c>
      <c r="D15" s="91" t="s">
        <v>266</v>
      </c>
      <c r="E15" s="91" t="s">
        <v>267</v>
      </c>
      <c r="F15" s="92" t="s">
        <v>268</v>
      </c>
      <c r="G15" s="89" t="s">
        <v>269</v>
      </c>
      <c r="H15" s="92" t="s">
        <v>270</v>
      </c>
      <c r="I15" s="91" t="s">
        <v>271</v>
      </c>
      <c r="J15" s="93" t="s">
        <v>272</v>
      </c>
    </row>
    <row r="16" spans="1:10" ht="21.95" customHeight="1" x14ac:dyDescent="0.25">
      <c r="A16" s="70" t="s">
        <v>273</v>
      </c>
      <c r="B16" s="87" t="s">
        <v>274</v>
      </c>
      <c r="C16" s="88" t="s">
        <v>275</v>
      </c>
      <c r="D16" s="87" t="s">
        <v>276</v>
      </c>
      <c r="E16" s="87" t="s">
        <v>277</v>
      </c>
      <c r="F16" s="88" t="s">
        <v>239</v>
      </c>
      <c r="G16" s="89" t="s">
        <v>278</v>
      </c>
      <c r="H16" s="88" t="s">
        <v>279</v>
      </c>
      <c r="I16" s="87" t="s">
        <v>280</v>
      </c>
      <c r="J16" s="90" t="s">
        <v>281</v>
      </c>
    </row>
    <row r="17" spans="1:10" ht="21.95" customHeight="1" x14ac:dyDescent="0.25">
      <c r="A17" s="69" t="s">
        <v>282</v>
      </c>
      <c r="B17" s="91" t="s">
        <v>283</v>
      </c>
      <c r="C17" s="92" t="s">
        <v>284</v>
      </c>
      <c r="D17" s="91" t="s">
        <v>285</v>
      </c>
      <c r="E17" s="91" t="s">
        <v>286</v>
      </c>
      <c r="F17" s="92" t="s">
        <v>287</v>
      </c>
      <c r="G17" s="89" t="s">
        <v>288</v>
      </c>
      <c r="H17" s="92" t="s">
        <v>289</v>
      </c>
      <c r="I17" s="91" t="s">
        <v>290</v>
      </c>
      <c r="J17" s="93" t="s">
        <v>291</v>
      </c>
    </row>
  </sheetData>
  <mergeCells count="3">
    <mergeCell ref="A1:J1"/>
    <mergeCell ref="A3:J3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workbookViewId="0">
      <selection activeCell="C6" sqref="C6"/>
    </sheetView>
  </sheetViews>
  <sheetFormatPr defaultRowHeight="15" x14ac:dyDescent="0.25"/>
  <cols>
    <col min="1" max="1" width="27.140625" bestFit="1" customWidth="1"/>
    <col min="2" max="2" width="50.42578125" bestFit="1" customWidth="1"/>
    <col min="3" max="3" width="73.7109375" bestFit="1" customWidth="1"/>
    <col min="4" max="4" width="16.7109375" bestFit="1" customWidth="1"/>
    <col min="5" max="5" width="18" bestFit="1" customWidth="1"/>
    <col min="6" max="6" width="12.85546875" bestFit="1" customWidth="1"/>
    <col min="7" max="7" width="19.42578125" bestFit="1" customWidth="1"/>
    <col min="8" max="8" width="37.140625" bestFit="1" customWidth="1"/>
  </cols>
  <sheetData>
    <row r="1" spans="1:8" ht="27.95" customHeight="1" x14ac:dyDescent="0.25">
      <c r="A1" s="112" t="s">
        <v>292</v>
      </c>
      <c r="B1" s="106"/>
      <c r="C1" s="106"/>
      <c r="D1" s="106"/>
      <c r="E1" s="106"/>
      <c r="F1" s="106"/>
      <c r="G1" s="106"/>
      <c r="H1" s="106"/>
    </row>
    <row r="2" spans="1:8" ht="18" customHeight="1" x14ac:dyDescent="0.25">
      <c r="A2" s="105" t="s">
        <v>293</v>
      </c>
      <c r="B2" s="106"/>
      <c r="C2" s="106"/>
      <c r="D2" s="106"/>
      <c r="E2" s="106"/>
      <c r="F2" s="106"/>
      <c r="G2" s="106"/>
      <c r="H2" s="106"/>
    </row>
    <row r="3" spans="1:8" ht="18" customHeight="1" x14ac:dyDescent="0.25">
      <c r="A3" s="118" t="s">
        <v>294</v>
      </c>
      <c r="B3" s="106"/>
      <c r="C3" s="106"/>
      <c r="D3" s="106"/>
      <c r="E3" s="106"/>
      <c r="F3" s="106"/>
      <c r="G3" s="106"/>
      <c r="H3" s="106"/>
    </row>
    <row r="4" spans="1:8" ht="9.9499999999999993" customHeight="1" x14ac:dyDescent="0.25"/>
    <row r="5" spans="1:8" ht="21.95" customHeight="1" x14ac:dyDescent="0.25">
      <c r="A5" s="135" t="s">
        <v>295</v>
      </c>
      <c r="B5" s="106"/>
      <c r="C5" s="106"/>
      <c r="D5" s="106"/>
      <c r="E5" s="106"/>
      <c r="F5" s="106"/>
      <c r="G5" s="106"/>
      <c r="H5" s="106"/>
    </row>
    <row r="6" spans="1:8" ht="24.95" customHeight="1" x14ac:dyDescent="0.25">
      <c r="A6" s="5" t="s">
        <v>296</v>
      </c>
      <c r="B6" s="5" t="s">
        <v>297</v>
      </c>
      <c r="C6" s="6" t="s">
        <v>298</v>
      </c>
      <c r="D6" s="4" t="s">
        <v>299</v>
      </c>
      <c r="E6" s="6" t="s">
        <v>300</v>
      </c>
      <c r="F6" s="6" t="s">
        <v>301</v>
      </c>
      <c r="G6" s="4" t="s">
        <v>302</v>
      </c>
      <c r="H6" s="5" t="s">
        <v>303</v>
      </c>
    </row>
    <row r="7" spans="1:8" ht="21.95" customHeight="1" x14ac:dyDescent="0.25">
      <c r="A7" s="69" t="s">
        <v>304</v>
      </c>
      <c r="B7" s="91" t="s">
        <v>305</v>
      </c>
      <c r="C7" s="94">
        <f>Daily_Machinery_Costs!F41</f>
        <v>123.1</v>
      </c>
      <c r="D7" s="92" t="s">
        <v>306</v>
      </c>
      <c r="E7" s="34">
        <f>Daily_Machinery_Costs!H41</f>
        <v>1046350</v>
      </c>
      <c r="F7" s="95">
        <f>E7/$E$11</f>
        <v>0.37502217661124648</v>
      </c>
      <c r="G7" s="92" t="s">
        <v>307</v>
      </c>
      <c r="H7" s="93" t="s">
        <v>308</v>
      </c>
    </row>
    <row r="8" spans="1:8" ht="21.95" customHeight="1" x14ac:dyDescent="0.25">
      <c r="A8" s="70" t="s">
        <v>309</v>
      </c>
      <c r="B8" s="87" t="s">
        <v>310</v>
      </c>
      <c r="C8" s="96">
        <f>Daily_Machinery_Costs!I41</f>
        <v>138.73102564102564</v>
      </c>
      <c r="D8" s="88" t="s">
        <v>311</v>
      </c>
      <c r="E8" s="15">
        <f>Daily_Machinery_Costs!K41</f>
        <v>901751.66666666674</v>
      </c>
      <c r="F8" s="97">
        <f>E8/$E$11</f>
        <v>0.32319670549639468</v>
      </c>
      <c r="G8" s="88" t="s">
        <v>307</v>
      </c>
      <c r="H8" s="90" t="s">
        <v>312</v>
      </c>
    </row>
    <row r="9" spans="1:8" ht="21.95" customHeight="1" x14ac:dyDescent="0.25">
      <c r="A9" s="69" t="s">
        <v>313</v>
      </c>
      <c r="B9" s="91" t="s">
        <v>314</v>
      </c>
      <c r="C9" s="98">
        <f>Daily_Machinery_Costs!M41</f>
        <v>842</v>
      </c>
      <c r="D9" s="92" t="s">
        <v>315</v>
      </c>
      <c r="E9" s="34">
        <f>Daily_Machinery_Costs!O41</f>
        <v>842000</v>
      </c>
      <c r="F9" s="95">
        <f>E9/$E$11</f>
        <v>0.30178111789235873</v>
      </c>
      <c r="G9" s="92" t="s">
        <v>316</v>
      </c>
      <c r="H9" s="93" t="s">
        <v>317</v>
      </c>
    </row>
    <row r="10" spans="1:8" ht="21.95" customHeight="1" x14ac:dyDescent="0.25">
      <c r="A10" s="70" t="s">
        <v>318</v>
      </c>
      <c r="B10" s="87" t="s">
        <v>319</v>
      </c>
      <c r="C10" s="99" t="s">
        <v>320</v>
      </c>
      <c r="D10" s="88" t="s">
        <v>321</v>
      </c>
      <c r="E10" s="15">
        <v>0</v>
      </c>
      <c r="F10" s="97">
        <v>0</v>
      </c>
      <c r="G10" s="88" t="s">
        <v>322</v>
      </c>
      <c r="H10" s="90" t="s">
        <v>323</v>
      </c>
    </row>
    <row r="11" spans="1:8" ht="26.1" customHeight="1" x14ac:dyDescent="0.25">
      <c r="A11" s="119" t="s">
        <v>324</v>
      </c>
      <c r="B11" s="120"/>
      <c r="C11" s="120"/>
      <c r="D11" s="120"/>
      <c r="E11" s="79">
        <f>SUM(E7:E10)</f>
        <v>2790101.666666667</v>
      </c>
      <c r="F11" s="100">
        <f>SUM(F7:F10)</f>
        <v>0.99999999999999989</v>
      </c>
      <c r="G11" s="72" t="s">
        <v>325</v>
      </c>
      <c r="H11" s="101" t="s">
        <v>326</v>
      </c>
    </row>
    <row r="12" spans="1:8" ht="14.1" customHeight="1" x14ac:dyDescent="0.25"/>
    <row r="13" spans="1:8" ht="21.95" customHeight="1" x14ac:dyDescent="0.25">
      <c r="A13" s="139" t="s">
        <v>327</v>
      </c>
      <c r="B13" s="106"/>
      <c r="C13" s="106"/>
      <c r="D13" s="106"/>
      <c r="E13" s="106"/>
      <c r="F13" s="106"/>
      <c r="G13" s="106"/>
      <c r="H13" s="106"/>
    </row>
    <row r="14" spans="1:8" ht="20.100000000000001" customHeight="1" x14ac:dyDescent="0.25">
      <c r="A14" s="102" t="s">
        <v>328</v>
      </c>
      <c r="B14" s="102" t="s">
        <v>329</v>
      </c>
      <c r="C14" s="102" t="s">
        <v>330</v>
      </c>
      <c r="D14" s="102" t="s">
        <v>331</v>
      </c>
      <c r="E14" s="102" t="s">
        <v>332</v>
      </c>
      <c r="F14" s="133" t="s">
        <v>333</v>
      </c>
      <c r="G14" s="134"/>
      <c r="H14" s="134"/>
    </row>
    <row r="15" spans="1:8" ht="21" customHeight="1" x14ac:dyDescent="0.25">
      <c r="A15" s="92" t="s">
        <v>334</v>
      </c>
      <c r="B15" s="69" t="s">
        <v>335</v>
      </c>
      <c r="C15" s="91" t="s">
        <v>336</v>
      </c>
      <c r="D15" s="34">
        <v>1650000</v>
      </c>
      <c r="E15" s="95" t="e">
        <f>D14/$D$18</f>
        <v>#VALUE!</v>
      </c>
      <c r="F15" s="126" t="s">
        <v>337</v>
      </c>
      <c r="G15" s="127"/>
      <c r="H15" s="127"/>
    </row>
    <row r="16" spans="1:8" ht="21" customHeight="1" x14ac:dyDescent="0.25">
      <c r="A16" s="88" t="s">
        <v>338</v>
      </c>
      <c r="B16" s="70" t="s">
        <v>339</v>
      </c>
      <c r="C16" s="87" t="s">
        <v>340</v>
      </c>
      <c r="D16" s="15">
        <v>620000</v>
      </c>
      <c r="E16" s="97">
        <f>D15/$D$18</f>
        <v>14.986148711459146</v>
      </c>
      <c r="F16" s="136" t="s">
        <v>341</v>
      </c>
      <c r="G16" s="137"/>
      <c r="H16" s="137"/>
    </row>
    <row r="17" spans="1:8" ht="21" customHeight="1" x14ac:dyDescent="0.25">
      <c r="A17" s="92" t="s">
        <v>342</v>
      </c>
      <c r="B17" s="69" t="s">
        <v>343</v>
      </c>
      <c r="C17" s="91" t="s">
        <v>344</v>
      </c>
      <c r="D17" s="34">
        <v>410000</v>
      </c>
      <c r="E17" s="95">
        <f>D16/$D$18</f>
        <v>5.6311589097604058</v>
      </c>
      <c r="F17" s="126" t="s">
        <v>345</v>
      </c>
      <c r="G17" s="127"/>
      <c r="H17" s="127"/>
    </row>
    <row r="18" spans="1:8" ht="21" customHeight="1" x14ac:dyDescent="0.25">
      <c r="A18" s="88" t="s">
        <v>346</v>
      </c>
      <c r="B18" s="70" t="s">
        <v>347</v>
      </c>
      <c r="C18" s="87" t="s">
        <v>348</v>
      </c>
      <c r="D18" s="15">
        <v>110101.67</v>
      </c>
      <c r="E18" s="97">
        <f>D17/$D$18</f>
        <v>3.7238308919383329</v>
      </c>
      <c r="F18" s="136" t="s">
        <v>349</v>
      </c>
      <c r="G18" s="137"/>
      <c r="H18" s="137"/>
    </row>
    <row r="19" spans="1:8" ht="24" customHeight="1" x14ac:dyDescent="0.25">
      <c r="A19" s="131" t="s">
        <v>350</v>
      </c>
      <c r="B19" s="129"/>
      <c r="C19" s="129"/>
      <c r="D19" s="103">
        <f>SUM(D15:D18)</f>
        <v>2790101.67</v>
      </c>
      <c r="E19" s="104" t="e">
        <f>SUM(E15:E18)</f>
        <v>#VALUE!</v>
      </c>
      <c r="F19" s="138" t="s">
        <v>351</v>
      </c>
      <c r="G19" s="129"/>
      <c r="H19" s="129"/>
    </row>
    <row r="20" spans="1:8" ht="14.1" customHeight="1" x14ac:dyDescent="0.25"/>
    <row r="21" spans="1:8" ht="21.95" customHeight="1" x14ac:dyDescent="0.25">
      <c r="A21" s="132" t="s">
        <v>352</v>
      </c>
      <c r="B21" s="106"/>
      <c r="C21" s="106"/>
      <c r="D21" s="106"/>
      <c r="E21" s="106"/>
      <c r="F21" s="106"/>
      <c r="G21" s="106"/>
      <c r="H21" s="106"/>
    </row>
    <row r="22" spans="1:8" ht="20.100000000000001" customHeight="1" x14ac:dyDescent="0.25">
      <c r="A22" s="128" t="s">
        <v>353</v>
      </c>
      <c r="B22" s="129"/>
      <c r="C22" s="130" t="s">
        <v>354</v>
      </c>
      <c r="D22" s="129"/>
      <c r="E22" s="129"/>
      <c r="F22" s="129"/>
      <c r="G22" s="129"/>
      <c r="H22" s="129"/>
    </row>
    <row r="23" spans="1:8" ht="20.100000000000001" customHeight="1" x14ac:dyDescent="0.25">
      <c r="A23" s="128" t="s">
        <v>355</v>
      </c>
      <c r="B23" s="129"/>
      <c r="C23" s="130" t="s">
        <v>356</v>
      </c>
      <c r="D23" s="129"/>
      <c r="E23" s="129"/>
      <c r="F23" s="129"/>
      <c r="G23" s="129"/>
      <c r="H23" s="129"/>
    </row>
    <row r="24" spans="1:8" ht="20.100000000000001" customHeight="1" x14ac:dyDescent="0.25">
      <c r="A24" s="128" t="s">
        <v>357</v>
      </c>
      <c r="B24" s="129"/>
      <c r="C24" s="130" t="s">
        <v>358</v>
      </c>
      <c r="D24" s="129"/>
      <c r="E24" s="129"/>
      <c r="F24" s="129"/>
      <c r="G24" s="129"/>
      <c r="H24" s="129"/>
    </row>
    <row r="25" spans="1:8" ht="20.100000000000001" customHeight="1" x14ac:dyDescent="0.25">
      <c r="A25" s="128" t="s">
        <v>359</v>
      </c>
      <c r="B25" s="129"/>
      <c r="C25" s="130" t="s">
        <v>360</v>
      </c>
      <c r="D25" s="129"/>
      <c r="E25" s="129"/>
      <c r="F25" s="129"/>
      <c r="G25" s="129"/>
      <c r="H25" s="129"/>
    </row>
  </sheetData>
  <mergeCells count="22">
    <mergeCell ref="A13:H13"/>
    <mergeCell ref="C25:H25"/>
    <mergeCell ref="A24:B24"/>
    <mergeCell ref="F18:H18"/>
    <mergeCell ref="C22:H22"/>
    <mergeCell ref="F17:H17"/>
    <mergeCell ref="F15:H15"/>
    <mergeCell ref="A1:H1"/>
    <mergeCell ref="A25:B25"/>
    <mergeCell ref="C23:H23"/>
    <mergeCell ref="A11:D11"/>
    <mergeCell ref="A3:H3"/>
    <mergeCell ref="A19:C19"/>
    <mergeCell ref="A21:H21"/>
    <mergeCell ref="F14:H14"/>
    <mergeCell ref="A2:H2"/>
    <mergeCell ref="A5:H5"/>
    <mergeCell ref="A23:B23"/>
    <mergeCell ref="A22:B22"/>
    <mergeCell ref="F16:H16"/>
    <mergeCell ref="C24:H24"/>
    <mergeCell ref="F19:H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Daily_Machinery_Costs</vt:lpstr>
      <vt:lpstr>Materials_&amp;_Other_Costs</vt:lpstr>
      <vt:lpstr>Monthly_Reconciliation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Dennis Ndirangu</cp:lastModifiedBy>
  <dcterms:created xsi:type="dcterms:W3CDTF">2026-09-02T12:37:59Z</dcterms:created>
  <dcterms:modified xsi:type="dcterms:W3CDTF">2026-09-02T20:24:37Z</dcterms:modified>
</cp:coreProperties>
</file>